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Sheet1"/>
    <sheet r:id="rId2" sheetId="2" name="Sheet3"/>
    <sheet r:id="rId3" sheetId="3" name="Sheet2"/>
    <sheet r:id="rId4" sheetId="4" name="Sheet4"/>
    <sheet r:id="rId5" sheetId="5" name="stopLoss"/>
    <sheet r:id="rId6" sheetId="6" name="takeProfit"/>
  </sheets>
  <definedNames>
    <definedName name="_xlnm._FilterDatabase" localSheetId="1">Sheet3!$A$1:$C$58</definedName>
  </definedNames>
  <calcPr fullCalcOnLoad="1"/>
</workbook>
</file>

<file path=xl/sharedStrings.xml><?xml version="1.0" encoding="utf-8"?>
<sst xmlns="http://schemas.openxmlformats.org/spreadsheetml/2006/main" count="167" uniqueCount="82">
  <si>
    <t xml:space="preserve">buy signal </t>
  </si>
  <si>
    <t>unit to buy</t>
  </si>
  <si>
    <t>take profit for unit bought @ 23.6%</t>
  </si>
  <si>
    <t>take profit for unit bought @38.2%</t>
  </si>
  <si>
    <t>take profit  for unit bought @ 61.8%</t>
  </si>
  <si>
    <t>stop loss for unit bought @ 76.4%</t>
  </si>
  <si>
    <t>main bucket</t>
  </si>
  <si>
    <t>sub-bucket</t>
  </si>
  <si>
    <t>totals</t>
  </si>
  <si>
    <t>stop loss for unit bought @ 23.6%</t>
  </si>
  <si>
    <t>stop loss for unit bought @38.2%</t>
  </si>
  <si>
    <t>stop loss for unit bought @ 61.8%</t>
  </si>
  <si>
    <t>Date</t>
  </si>
  <si>
    <t>(R1) Open</t>
  </si>
  <si>
    <t>(R1) High</t>
  </si>
  <si>
    <t>(R1) Low</t>
  </si>
  <si>
    <t>(R1) Close</t>
  </si>
  <si>
    <t>(L</t>
  </si>
  <si>
    <t>Z-Score(14) (SPX)</t>
  </si>
  <si>
    <t>RSI (14)  on Close (SPX)</t>
  </si>
  <si>
    <t>WLPR(14) (SPX)</t>
  </si>
  <si>
    <t>%DS(5) (SPX)</t>
  </si>
  <si>
    <t>Diff (SPX)</t>
  </si>
  <si>
    <t>100069998592.00</t>
  </si>
  <si>
    <t>year</t>
  </si>
  <si>
    <t>closeType</t>
  </si>
  <si>
    <t>high</t>
  </si>
  <si>
    <t>low</t>
  </si>
  <si>
    <t>notes</t>
  </si>
  <si>
    <t>C&gt;O</t>
  </si>
  <si>
    <t>at 50% no 2008 and closed at the highs</t>
  </si>
  <si>
    <t>broke low 2007 but did not reach -123,6%</t>
  </si>
  <si>
    <t>close=high, open then dipped further</t>
  </si>
  <si>
    <t>just above 123.6%</t>
  </si>
  <si>
    <t>at the 76.4%</t>
  </si>
  <si>
    <t>chance to get it at 76.4%</t>
  </si>
  <si>
    <t>38.2% (nearly 23.6%)</t>
  </si>
  <si>
    <t>open = close</t>
  </si>
  <si>
    <t>C=O</t>
  </si>
  <si>
    <t>low=open, high=close</t>
  </si>
  <si>
    <t>no pullback to buy</t>
  </si>
  <si>
    <t>similar pattern to 2019</t>
  </si>
  <si>
    <t>C&lt;O</t>
  </si>
  <si>
    <t>150% no 2017</t>
  </si>
  <si>
    <t>open/close far from h, l</t>
  </si>
  <si>
    <t>150% no 2018</t>
  </si>
  <si>
    <t>23.6% but equal to the open i didn't pull back</t>
  </si>
  <si>
    <t>similar pattern to 2017</t>
  </si>
  <si>
    <t>161.8% no 2019</t>
  </si>
  <si>
    <t>very long range from -123.6%  to +161.8%</t>
  </si>
  <si>
    <t>mad year open then cleared all the body fibo and stopped around -123.6%</t>
  </si>
  <si>
    <t>161.8% no 2020</t>
  </si>
  <si>
    <t>similar pattern to 2017/19</t>
  </si>
  <si>
    <t>high = open form 2021</t>
  </si>
  <si>
    <t xml:space="preserve">off the lows but not by much </t>
  </si>
  <si>
    <t>open=high, close off the lows but not much</t>
  </si>
  <si>
    <t xml:space="preserve">wiped out 2021 completely but did not reach -123.6 </t>
  </si>
  <si>
    <t>high around high 2023</t>
  </si>
  <si>
    <t>made back what's lost in 2022 ,no pullback to buy</t>
  </si>
  <si>
    <t>similar pattern to 2017/19/21</t>
  </si>
  <si>
    <t>223.6% really high</t>
  </si>
  <si>
    <t>around the open no pull  back to 76.$%</t>
  </si>
  <si>
    <t>long range but positive no negative pullbacks</t>
  </si>
  <si>
    <t>similar pattern to 2017/19/21/23</t>
  </si>
  <si>
    <t>w</t>
  </si>
  <si>
    <t>m</t>
  </si>
  <si>
    <t>q</t>
  </si>
  <si>
    <t>Dates</t>
  </si>
  <si>
    <t>PX_HIGH</t>
  </si>
  <si>
    <t>PX_LOW</t>
  </si>
  <si>
    <t>PX_CLOSE_1D</t>
  </si>
  <si>
    <t>PX_OPEN</t>
  </si>
  <si>
    <t>st_dev</t>
  </si>
  <si>
    <t>no_days</t>
  </si>
  <si>
    <t>expiry</t>
  </si>
  <si>
    <t>fibonacci</t>
  </si>
  <si>
    <t>price levels</t>
  </si>
  <si>
    <t>upward extension</t>
  </si>
  <si>
    <t xml:space="preserve">low </t>
  </si>
  <si>
    <t>range</t>
  </si>
  <si>
    <t>fibonacci levels</t>
  </si>
  <si>
    <t>downward extension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</si>
</sst>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#,##0.00%"/>
    <numFmt numFmtId="165" formatCode="#,##0.0%"/>
    <numFmt numFmtId="166" formatCode="#,##0%"/>
    <numFmt numFmtId="167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fff"/>
      </patternFill>
    </fill>
    <fill>
      <patternFill patternType="solid">
        <fgColor rgb="FFfff8a9"/>
      </patternFill>
    </fill>
    <fill>
      <patternFill patternType="solid">
        <fgColor rgb="FFdeebf7"/>
      </patternFill>
    </fill>
    <fill>
      <patternFill patternType="solid">
        <fgColor rgb="FFfbe5d6"/>
      </patternFill>
    </fill>
    <fill>
      <patternFill patternType="solid">
        <fgColor rgb="FFf8cbad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bababa"/>
      </left>
      <right style="medium">
        <color rgb="FFbababa"/>
      </right>
      <top style="thick">
        <color rgb="FFbababa"/>
      </top>
      <bottom style="medium">
        <color rgb="FFbababa"/>
      </bottom>
      <diagonal/>
    </border>
    <border>
      <left style="medium">
        <color rgb="FFbababa"/>
      </left>
      <right style="medium">
        <color rgb="FFbababa"/>
      </right>
      <top style="medium">
        <color rgb="FFbababa"/>
      </top>
      <bottom style="medium">
        <color rgb="FFbababa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98">
    <xf xfId="0" numFmtId="0" borderId="0" fontId="0" fillId="0"/>
    <xf xfId="0" numFmtId="0" borderId="0" fontId="0" fillId="0" applyAlignment="1">
      <alignment wrapText="1"/>
    </xf>
    <xf xfId="0" numFmtId="164" applyNumberFormat="1" borderId="1" applyBorder="1" fontId="1" applyFont="1" fillId="0" applyAlignment="1">
      <alignment horizontal="left" wrapText="1"/>
    </xf>
    <xf xfId="0" numFmtId="165" applyNumberFormat="1" borderId="1" applyBorder="1" fontId="1" applyFont="1" fillId="0" applyAlignment="1">
      <alignment horizontal="right" wrapText="1"/>
    </xf>
    <xf xfId="0" numFmtId="3" applyNumberFormat="1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164" applyNumberFormat="1" borderId="3" applyBorder="1" fontId="2" applyFont="1" fillId="2" applyFill="1" applyAlignment="1">
      <alignment horizontal="left" wrapText="1"/>
    </xf>
    <xf xfId="0" numFmtId="4" applyNumberFormat="1" borderId="3" applyBorder="1" fontId="3" applyFont="1" fillId="3" applyFill="1" applyAlignment="1">
      <alignment horizontal="right" wrapText="1"/>
    </xf>
    <xf xfId="0" numFmtId="164" applyNumberFormat="1" borderId="3" applyBorder="1" fontId="3" applyFont="1" fillId="2" applyFill="1" applyAlignment="1">
      <alignment horizontal="left" wrapText="1"/>
    </xf>
    <xf xfId="0" numFmtId="165" applyNumberFormat="1" borderId="1" applyBorder="1" fontId="1" applyFont="1" fillId="0" applyAlignment="1">
      <alignment horizontal="right"/>
    </xf>
    <xf xfId="0" numFmtId="166" applyNumberFormat="1" borderId="4" applyBorder="1" fontId="2" applyFont="1" fillId="2" applyFill="1" applyAlignment="1">
      <alignment horizontal="left" wrapText="1"/>
    </xf>
    <xf xfId="0" numFmtId="3" applyNumberFormat="1" borderId="4" applyBorder="1" fontId="3" applyFont="1" fillId="3" applyFill="1" applyAlignment="1">
      <alignment horizontal="right" wrapText="1"/>
    </xf>
    <xf xfId="0" numFmtId="166" applyNumberFormat="1" borderId="4" applyBorder="1" fontId="3" applyFont="1" fillId="2" applyFill="1" applyAlignment="1">
      <alignment horizontal="left" wrapText="1"/>
    </xf>
    <xf xfId="0" numFmtId="164" applyNumberFormat="1" borderId="4" applyBorder="1" fontId="2" applyFont="1" fillId="2" applyFill="1" applyAlignment="1">
      <alignment horizontal="left" wrapText="1"/>
    </xf>
    <xf xfId="0" numFmtId="4" applyNumberFormat="1" borderId="4" applyBorder="1" fontId="3" applyFont="1" fillId="3" applyFill="1" applyAlignment="1">
      <alignment horizontal="right" wrapText="1"/>
    </xf>
    <xf xfId="0" numFmtId="164" applyNumberFormat="1" borderId="4" applyBorder="1" fontId="3" applyFont="1" fillId="2" applyFill="1" applyAlignment="1">
      <alignment horizontal="left" wrapText="1"/>
    </xf>
    <xf xfId="0" numFmtId="3" applyNumberFormat="1" borderId="1" applyBorder="1" fontId="1" applyFont="1" fillId="0" applyAlignment="1">
      <alignment horizontal="right"/>
    </xf>
    <xf xfId="0" numFmtId="166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166" applyNumberFormat="1" borderId="1" applyBorder="1" fontId="2" applyFont="1" fillId="0" applyAlignment="1">
      <alignment horizontal="left" wrapText="1"/>
    </xf>
    <xf xfId="0" numFmtId="3" applyNumberFormat="1" borderId="1" applyBorder="1" fontId="3" applyFont="1" fillId="0" applyAlignment="1">
      <alignment horizontal="left" wrapText="1"/>
    </xf>
    <xf xfId="0" numFmtId="164" applyNumberFormat="1" borderId="1" applyBorder="1" fontId="2" applyFont="1" fillId="0" applyAlignment="1">
      <alignment horizontal="left" wrapText="1"/>
    </xf>
    <xf xfId="0" numFmtId="164" applyNumberFormat="1" borderId="1" applyBorder="1" fontId="2" applyFont="1" fillId="2" applyFill="1" applyAlignment="1">
      <alignment horizontal="left" wrapText="1"/>
    </xf>
    <xf xfId="0" numFmtId="164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left"/>
    </xf>
    <xf xfId="0" numFmtId="16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7" applyNumberFormat="1" borderId="0" fontId="0" fillId="0" applyAlignment="1">
      <alignment horizontal="general"/>
    </xf>
    <xf xfId="0" numFmtId="167" applyNumberFormat="1" borderId="5" applyBorder="1" fontId="1" applyFont="1" fillId="4" applyFill="1" applyAlignment="1">
      <alignment horizontal="right"/>
    </xf>
    <xf xfId="0" numFmtId="167" applyNumberFormat="1" borderId="2" applyBorder="1" fontId="1" applyFont="1" fillId="0" applyAlignment="1">
      <alignment horizontal="right"/>
    </xf>
    <xf xfId="0" numFmtId="0" borderId="2" applyBorder="1" fontId="1" applyFont="1" fillId="0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167" applyNumberFormat="1" borderId="2" applyBorder="1" fontId="1" applyFont="1" fillId="0" applyAlignment="1">
      <alignment horizontal="left"/>
    </xf>
    <xf xfId="0" numFmtId="3" applyNumberFormat="1" borderId="5" applyBorder="1" fontId="1" applyFont="1" fillId="5" applyFill="1" applyAlignment="1">
      <alignment horizontal="right"/>
    </xf>
    <xf xfId="0" numFmtId="4" applyNumberFormat="1" borderId="5" applyBorder="1" fontId="1" applyFont="1" fillId="5" applyFill="1" applyAlignment="1">
      <alignment horizontal="right"/>
    </xf>
    <xf xfId="0" numFmtId="3" applyNumberFormat="1" borderId="5" applyBorder="1" fontId="1" applyFont="1" fillId="5" applyFill="1" applyAlignment="1">
      <alignment horizontal="left"/>
    </xf>
    <xf xfId="0" numFmtId="3" applyNumberFormat="1" borderId="5" applyBorder="1" fontId="1" applyFont="1" fillId="6" applyFill="1" applyAlignment="1">
      <alignment horizontal="right"/>
    </xf>
    <xf xfId="0" numFmtId="4" applyNumberFormat="1" borderId="5" applyBorder="1" fontId="1" applyFont="1" fillId="6" applyFill="1" applyAlignment="1">
      <alignment horizontal="right"/>
    </xf>
    <xf xfId="0" numFmtId="3" applyNumberFormat="1" borderId="5" applyBorder="1" fontId="1" applyFont="1" fillId="6" applyFill="1" applyAlignment="1">
      <alignment horizontal="left"/>
    </xf>
    <xf xfId="0" numFmtId="167" applyNumberFormat="1" borderId="0" fontId="0" fillId="0" applyAlignment="1">
      <alignment horizontal="general"/>
    </xf>
    <xf xfId="0" numFmtId="167" applyNumberFormat="1" borderId="0" fontId="0" fillId="0" applyAlignment="1">
      <alignment horizontal="right"/>
    </xf>
    <xf xfId="0" numFmtId="0" borderId="2" applyBorder="1" fontId="1" applyFont="1" fillId="0" applyAlignment="1">
      <alignment horizontal="right"/>
    </xf>
    <xf xfId="0" numFmtId="167" applyNumberFormat="1" borderId="6" applyBorder="1" fontId="1" applyFont="1" fillId="0" applyAlignment="1">
      <alignment horizontal="left"/>
    </xf>
    <xf xfId="0" numFmtId="4" applyNumberFormat="1" borderId="7" applyBorder="1" fontId="1" applyFont="1" fillId="0" applyAlignment="1">
      <alignment horizontal="left"/>
    </xf>
    <xf xfId="0" numFmtId="167" applyNumberFormat="1" borderId="8" applyBorder="1" fontId="1" applyFont="1" fillId="4" applyFill="1" applyAlignment="1">
      <alignment horizontal="right"/>
    </xf>
    <xf xfId="0" numFmtId="4" applyNumberFormat="1" borderId="9" applyBorder="1" fontId="1" applyFont="1" fillId="4" applyFill="1" applyAlignment="1">
      <alignment horizontal="right"/>
    </xf>
    <xf xfId="0" numFmtId="4" applyNumberFormat="1" borderId="9" applyBorder="1" fontId="1" applyFont="1" fillId="4" applyFill="1" applyAlignment="1">
      <alignment horizontal="left"/>
    </xf>
    <xf xfId="0" numFmtId="0" borderId="9" applyBorder="1" fontId="1" applyFont="1" fillId="4" applyFill="1" applyAlignment="1">
      <alignment horizontal="left" vertical="top"/>
    </xf>
    <xf xfId="0" numFmtId="167" applyNumberFormat="1" borderId="10" applyBorder="1" fontId="1" applyFont="1" fillId="4" applyFill="1" applyAlignment="1">
      <alignment horizontal="right"/>
    </xf>
    <xf xfId="0" numFmtId="4" applyNumberFormat="1" borderId="11" applyBorder="1" fontId="1" applyFont="1" fillId="4" applyFill="1" applyAlignment="1">
      <alignment horizontal="right"/>
    </xf>
    <xf xfId="0" numFmtId="0" borderId="11" applyBorder="1" fontId="1" applyFont="1" fillId="4" applyFill="1" applyAlignment="1">
      <alignment horizontal="left"/>
    </xf>
    <xf xfId="0" numFmtId="167" applyNumberFormat="1" borderId="12" applyBorder="1" fontId="1" applyFont="1" fillId="4" applyFill="1" applyAlignment="1">
      <alignment horizontal="right"/>
    </xf>
    <xf xfId="0" numFmtId="4" applyNumberFormat="1" borderId="13" applyBorder="1" fontId="1" applyFont="1" fillId="4" applyFill="1" applyAlignment="1">
      <alignment horizontal="right"/>
    </xf>
    <xf xfId="0" numFmtId="0" borderId="13" applyBorder="1" fontId="1" applyFont="1" fillId="4" applyFill="1" applyAlignment="1">
      <alignment horizontal="left"/>
    </xf>
    <xf xfId="0" numFmtId="167" applyNumberFormat="1" borderId="8" applyBorder="1" fontId="1" applyFont="1" fillId="7" applyFill="1" applyAlignment="1">
      <alignment horizontal="left"/>
    </xf>
    <xf xfId="0" numFmtId="4" applyNumberFormat="1" borderId="9" applyBorder="1" fontId="1" applyFont="1" fillId="7" applyFill="1" applyAlignment="1">
      <alignment horizontal="right"/>
    </xf>
    <xf xfId="0" numFmtId="4" applyNumberFormat="1" borderId="14" applyBorder="1" fontId="1" applyFont="1" fillId="7" applyFill="1" applyAlignment="1">
      <alignment horizontal="right"/>
    </xf>
    <xf xfId="0" numFmtId="0" borderId="9" applyBorder="1" fontId="1" applyFont="1" fillId="7" applyFill="1" applyAlignment="1">
      <alignment horizontal="left" vertical="top"/>
    </xf>
    <xf xfId="0" numFmtId="167" applyNumberFormat="1" borderId="10" applyBorder="1" fontId="1" applyFont="1" fillId="7" applyFill="1" applyAlignment="1">
      <alignment horizontal="right"/>
    </xf>
    <xf xfId="0" numFmtId="4" applyNumberFormat="1" borderId="11" applyBorder="1" fontId="1" applyFont="1" fillId="7" applyFill="1" applyAlignment="1">
      <alignment horizontal="right"/>
    </xf>
    <xf xfId="0" numFmtId="0" borderId="11" applyBorder="1" fontId="1" applyFont="1" fillId="7" applyFill="1" applyAlignment="1">
      <alignment horizontal="left"/>
    </xf>
    <xf xfId="0" numFmtId="167" applyNumberFormat="1" borderId="12" applyBorder="1" fontId="1" applyFont="1" fillId="7" applyFill="1" applyAlignment="1">
      <alignment horizontal="left"/>
    </xf>
    <xf xfId="0" numFmtId="4" applyNumberFormat="1" borderId="13" applyBorder="1" fontId="1" applyFont="1" fillId="7" applyFill="1" applyAlignment="1">
      <alignment horizontal="right"/>
    </xf>
    <xf xfId="0" numFmtId="0" borderId="13" applyBorder="1" fontId="1" applyFont="1" fillId="7" applyFill="1" applyAlignment="1">
      <alignment horizontal="left"/>
    </xf>
    <xf xfId="0" numFmtId="4" applyNumberFormat="1" borderId="15" applyBorder="1" fontId="1" applyFont="1" fillId="4" applyFill="1" applyAlignment="1">
      <alignment horizontal="right"/>
    </xf>
    <xf xfId="0" numFmtId="4" applyNumberFormat="1" borderId="14" applyBorder="1" fontId="1" applyFont="1" fillId="4" applyFill="1" applyAlignment="1">
      <alignment horizontal="right"/>
    </xf>
    <xf xfId="0" numFmtId="4" applyNumberFormat="1" borderId="16" applyBorder="1" fontId="1" applyFont="1" fillId="4" applyFill="1" applyAlignment="1">
      <alignment horizontal="right"/>
    </xf>
    <xf xfId="0" numFmtId="4" applyNumberFormat="1" borderId="6" applyBorder="1" fontId="1" applyFont="1" fillId="4" applyFill="1" applyAlignment="1">
      <alignment horizontal="right"/>
    </xf>
    <xf xfId="0" numFmtId="167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70"/>
  <sheetViews>
    <sheetView workbookViewId="0"/>
  </sheetViews>
  <sheetFormatPr defaultRowHeight="15" x14ac:dyDescent="0.25"/>
  <cols>
    <col min="1" max="1" style="30" width="13.576428571428572" customWidth="1" bestFit="1"/>
    <col min="2" max="2" style="30" width="13.576428571428572" customWidth="1" bestFit="1"/>
    <col min="3" max="3" style="30" width="13.576428571428572" customWidth="1" bestFit="1"/>
    <col min="4" max="4" style="30" width="13.576428571428572" customWidth="1" bestFit="1"/>
    <col min="5" max="5" style="46" width="13.576428571428572" customWidth="1" bestFit="1"/>
    <col min="6" max="6" style="30" width="13.576428571428572" customWidth="1" bestFit="1"/>
    <col min="7" max="7" style="30" width="13.576428571428572" customWidth="1" bestFit="1"/>
    <col min="8" max="8" style="30" width="13.576428571428572" customWidth="1" bestFit="1"/>
    <col min="9" max="9" style="30" width="13.576428571428572" customWidth="1" bestFit="1"/>
    <col min="10" max="10" style="46" width="13.576428571428572" customWidth="1" bestFit="1"/>
    <col min="11" max="11" style="28" width="9.576428571428572" customWidth="1" bestFit="1"/>
    <col min="12" max="12" style="28" width="9.576428571428572" customWidth="1" bestFit="1"/>
    <col min="13" max="13" style="28" width="13.576428571428572" customWidth="1" bestFit="1"/>
    <col min="14" max="14" style="97" width="9.576428571428572" customWidth="1" bestFit="1"/>
    <col min="15" max="15" style="45" width="11.862142857142858" customWidth="1" bestFit="1"/>
    <col min="16" max="16" style="45" width="10.576428571428572" customWidth="1" bestFit="1"/>
    <col min="17" max="17" style="30" width="21.576428571428572" customWidth="1" bestFit="1"/>
    <col min="18" max="18" style="30" width="13.576428571428572" customWidth="1" bestFit="1"/>
    <col min="19" max="19" style="30" width="13.576428571428572" customWidth="1" bestFit="1"/>
    <col min="20" max="20" style="30" width="13.576428571428572" customWidth="1" bestFit="1"/>
    <col min="21" max="21" style="28" width="11.43357142857143" customWidth="1" bestFit="1"/>
    <col min="22" max="22" style="46" width="13.576428571428572" customWidth="1" bestFit="1"/>
    <col min="23" max="23" style="46" width="13.576428571428572" customWidth="1" bestFit="1"/>
    <col min="24" max="24" style="46" width="13.576428571428572" customWidth="1" bestFit="1"/>
    <col min="25" max="25" style="46" width="13.576428571428572" customWidth="1" bestFit="1"/>
    <col min="26" max="26" style="46" width="13.576428571428572" customWidth="1" bestFit="1"/>
    <col min="27" max="27" style="28" width="13.576428571428572" customWidth="1" bestFit="1"/>
    <col min="28" max="28" style="28" width="13.576428571428572" customWidth="1" bestFit="1"/>
    <col min="29" max="29" style="28" width="13.576428571428572" customWidth="1" bestFit="1"/>
  </cols>
  <sheetData>
    <row x14ac:dyDescent="0.25" r="1" customHeight="1" ht="18.75">
      <c r="A1" s="25"/>
      <c r="B1" s="25"/>
      <c r="C1" s="25"/>
      <c r="D1" s="25"/>
      <c r="E1" s="42"/>
      <c r="F1" s="25"/>
      <c r="G1" s="25"/>
      <c r="H1" s="25"/>
      <c r="I1" s="25"/>
      <c r="J1" s="43"/>
      <c r="K1" s="44"/>
      <c r="L1" s="44"/>
      <c r="M1" s="44"/>
      <c r="N1" s="69"/>
      <c r="O1" s="55"/>
      <c r="P1" s="55"/>
      <c r="Q1" s="25"/>
      <c r="R1" s="25"/>
      <c r="S1" s="25"/>
      <c r="T1" s="25"/>
      <c r="U1" s="44"/>
      <c r="V1" s="43"/>
      <c r="W1" s="43"/>
      <c r="X1" s="43"/>
      <c r="Y1" s="43"/>
      <c r="Z1" s="43"/>
      <c r="AA1" s="44"/>
      <c r="AB1" s="44"/>
      <c r="AC1" s="44"/>
    </row>
    <row x14ac:dyDescent="0.25" r="2" customHeight="1" ht="18.75">
      <c r="A2" s="25"/>
      <c r="B2" s="25"/>
      <c r="C2" s="25"/>
      <c r="D2" s="25"/>
      <c r="E2" s="42"/>
      <c r="F2" s="25"/>
      <c r="G2" s="25"/>
      <c r="H2" s="25"/>
      <c r="I2" s="25"/>
      <c r="J2" s="43"/>
      <c r="K2" s="44"/>
      <c r="L2" s="44"/>
      <c r="M2" s="44"/>
      <c r="N2" s="69"/>
      <c r="O2" s="55"/>
      <c r="P2" s="55"/>
      <c r="Q2" s="25"/>
      <c r="R2" s="25"/>
      <c r="S2" s="25"/>
      <c r="T2" s="25"/>
      <c r="U2" s="39" t="s">
        <v>67</v>
      </c>
      <c r="V2" s="40" t="s">
        <v>68</v>
      </c>
      <c r="W2" s="40" t="s">
        <v>69</v>
      </c>
      <c r="X2" s="40" t="s">
        <v>70</v>
      </c>
      <c r="Y2" s="40" t="s">
        <v>71</v>
      </c>
      <c r="Z2" s="40" t="s">
        <v>72</v>
      </c>
      <c r="AA2" s="39" t="s">
        <v>73</v>
      </c>
      <c r="AB2" s="39" t="s">
        <v>74</v>
      </c>
      <c r="AC2" s="39"/>
    </row>
    <row x14ac:dyDescent="0.25" r="3" customHeight="1" ht="18.75">
      <c r="A3" s="25"/>
      <c r="B3" s="25"/>
      <c r="C3" s="25"/>
      <c r="D3" s="25"/>
      <c r="E3" s="42"/>
      <c r="F3" s="25"/>
      <c r="G3" s="25"/>
      <c r="H3" s="25"/>
      <c r="I3" s="25"/>
      <c r="J3" s="43"/>
      <c r="K3" s="44"/>
      <c r="L3" s="44"/>
      <c r="M3" s="44"/>
      <c r="N3" s="69"/>
      <c r="O3" s="55"/>
      <c r="P3" s="55"/>
      <c r="Q3" s="25"/>
      <c r="R3" s="25"/>
      <c r="S3" s="25"/>
      <c r="T3" s="25"/>
      <c r="U3" s="39"/>
      <c r="V3" s="40"/>
      <c r="W3" s="40"/>
      <c r="X3" s="40"/>
      <c r="Y3" s="40"/>
      <c r="Z3" s="40"/>
      <c r="AA3" s="39"/>
      <c r="AB3" s="39"/>
      <c r="AC3" s="39"/>
    </row>
    <row x14ac:dyDescent="0.25" r="4" customHeight="1" ht="18.75">
      <c r="A4" s="25"/>
      <c r="B4" s="25"/>
      <c r="C4" s="25"/>
      <c r="D4" s="25"/>
      <c r="E4" s="42"/>
      <c r="F4" s="25"/>
      <c r="G4" s="25"/>
      <c r="H4" s="25"/>
      <c r="I4" s="25"/>
      <c r="J4" s="43"/>
      <c r="K4" s="44"/>
      <c r="L4" s="44"/>
      <c r="M4" s="44"/>
      <c r="N4" s="69"/>
      <c r="O4" s="55"/>
      <c r="P4" s="55"/>
      <c r="Q4" s="25"/>
      <c r="R4" s="25"/>
      <c r="S4" s="25"/>
      <c r="T4" s="25"/>
      <c r="U4" s="41">
        <v>33240</v>
      </c>
      <c r="V4" s="42">
        <v>8.03</v>
      </c>
      <c r="W4" s="42">
        <v>7.79</v>
      </c>
      <c r="X4" s="42">
        <v>7.88</v>
      </c>
      <c r="Y4" s="42">
        <v>7.85</v>
      </c>
      <c r="Z4" s="42">
        <v>0.657081685</v>
      </c>
      <c r="AA4" s="41">
        <v>24</v>
      </c>
      <c r="AB4" s="41">
        <v>199103</v>
      </c>
      <c r="AC4" s="41">
        <v>1</v>
      </c>
    </row>
    <row x14ac:dyDescent="0.25" r="5" customHeight="1" ht="18.75">
      <c r="A5" s="25"/>
      <c r="B5" s="25"/>
      <c r="C5" s="25"/>
      <c r="D5" s="25"/>
      <c r="E5" s="42"/>
      <c r="F5" s="25"/>
      <c r="G5" s="25"/>
      <c r="H5" s="25"/>
      <c r="I5" s="25"/>
      <c r="J5" s="43"/>
      <c r="K5" s="44"/>
      <c r="L5" s="44"/>
      <c r="M5" s="44"/>
      <c r="N5" s="69"/>
      <c r="O5" s="55"/>
      <c r="P5" s="55"/>
      <c r="Q5" s="25"/>
      <c r="R5" s="25"/>
      <c r="S5" s="25"/>
      <c r="T5" s="25"/>
      <c r="U5" s="41">
        <v>33241</v>
      </c>
      <c r="V5" s="42">
        <v>8.55</v>
      </c>
      <c r="W5" s="42">
        <v>8.11</v>
      </c>
      <c r="X5" s="42">
        <v>8.5</v>
      </c>
      <c r="Y5" s="42">
        <v>8.14</v>
      </c>
      <c r="Z5" s="42">
        <v>0.656038109</v>
      </c>
      <c r="AA5" s="41">
        <v>25</v>
      </c>
      <c r="AB5" s="41">
        <v>199103</v>
      </c>
      <c r="AC5" s="41">
        <f>AC4+1</f>
      </c>
    </row>
    <row x14ac:dyDescent="0.25" r="6" customHeight="1" ht="18.75">
      <c r="A6" s="25"/>
      <c r="B6" s="25"/>
      <c r="C6" s="25"/>
      <c r="D6" s="25"/>
      <c r="E6" s="42"/>
      <c r="F6" s="25"/>
      <c r="G6" s="25"/>
      <c r="H6" s="25"/>
      <c r="I6" s="25"/>
      <c r="J6" s="43"/>
      <c r="K6" s="44"/>
      <c r="L6" s="44"/>
      <c r="M6" s="44"/>
      <c r="N6" s="69"/>
      <c r="O6" s="55"/>
      <c r="P6" s="55"/>
      <c r="Q6" s="25"/>
      <c r="R6" s="25"/>
      <c r="S6" s="25"/>
      <c r="T6" s="25"/>
      <c r="U6" s="41">
        <v>33242</v>
      </c>
      <c r="V6" s="42">
        <v>8.72</v>
      </c>
      <c r="W6" s="42">
        <v>8.3</v>
      </c>
      <c r="X6" s="42">
        <v>8.45</v>
      </c>
      <c r="Y6" s="42">
        <v>8.5</v>
      </c>
      <c r="Z6" s="42">
        <v>0.66955657</v>
      </c>
      <c r="AA6" s="41">
        <v>26</v>
      </c>
      <c r="AB6" s="41">
        <v>199103</v>
      </c>
      <c r="AC6" s="41">
        <f>AC5+1</f>
      </c>
    </row>
    <row x14ac:dyDescent="0.25" r="7" customHeight="1" ht="18.75">
      <c r="A7" s="25"/>
      <c r="B7" s="25"/>
      <c r="C7" s="25"/>
      <c r="D7" s="70"/>
      <c r="E7" s="42"/>
      <c r="F7" s="25"/>
      <c r="G7" s="25"/>
      <c r="H7" s="25"/>
      <c r="I7" s="25"/>
      <c r="J7" s="43"/>
      <c r="K7" s="44"/>
      <c r="L7" s="44"/>
      <c r="M7" s="44"/>
      <c r="N7" s="69"/>
      <c r="O7" s="55"/>
      <c r="P7" s="55"/>
      <c r="Q7" s="25"/>
      <c r="R7" s="25"/>
      <c r="S7" s="25"/>
      <c r="T7" s="25"/>
      <c r="U7" s="41">
        <v>33245</v>
      </c>
      <c r="V7" s="42">
        <v>8.24</v>
      </c>
      <c r="W7" s="42">
        <v>7.95</v>
      </c>
      <c r="X7" s="42">
        <v>8.03</v>
      </c>
      <c r="Y7" s="42">
        <v>8.24</v>
      </c>
      <c r="Z7" s="42">
        <v>0.70244288</v>
      </c>
      <c r="AA7" s="41">
        <v>27</v>
      </c>
      <c r="AB7" s="41">
        <v>199103</v>
      </c>
      <c r="AC7" s="41">
        <f>AC6+1</f>
      </c>
    </row>
    <row x14ac:dyDescent="0.25" r="8" customHeight="1" ht="18.75">
      <c r="A8" s="25"/>
      <c r="B8" s="25"/>
      <c r="C8" s="25"/>
      <c r="D8" s="25"/>
      <c r="E8" s="42"/>
      <c r="F8" s="25"/>
      <c r="G8" s="25"/>
      <c r="H8" s="25"/>
      <c r="I8" s="25"/>
      <c r="J8" s="43"/>
      <c r="K8" s="44"/>
      <c r="L8" s="44"/>
      <c r="M8" s="44"/>
      <c r="N8" s="69"/>
      <c r="O8" s="55"/>
      <c r="P8" s="55"/>
      <c r="Q8" s="25"/>
      <c r="R8" s="25"/>
      <c r="S8" s="25"/>
      <c r="T8" s="25"/>
      <c r="U8" s="41">
        <v>33246</v>
      </c>
      <c r="V8" s="42">
        <v>8.33</v>
      </c>
      <c r="W8" s="42">
        <v>7.89</v>
      </c>
      <c r="X8" s="42">
        <v>8.16</v>
      </c>
      <c r="Y8" s="42">
        <v>7.93</v>
      </c>
      <c r="Z8" s="42">
        <v>0.724768469</v>
      </c>
      <c r="AA8" s="41">
        <v>28</v>
      </c>
      <c r="AB8" s="41">
        <v>199103</v>
      </c>
      <c r="AC8" s="41">
        <f>AC7+1</f>
      </c>
    </row>
    <row x14ac:dyDescent="0.25" r="9" customHeight="1" ht="18.75">
      <c r="A9" s="25"/>
      <c r="B9" s="25"/>
      <c r="C9" s="25"/>
      <c r="D9" s="25"/>
      <c r="E9" s="42"/>
      <c r="F9" s="25"/>
      <c r="G9" s="25"/>
      <c r="H9" s="25"/>
      <c r="I9" s="25"/>
      <c r="J9" s="43"/>
      <c r="K9" s="44"/>
      <c r="L9" s="44"/>
      <c r="M9" s="44"/>
      <c r="N9" s="71" t="s">
        <v>75</v>
      </c>
      <c r="O9" s="72" t="s">
        <v>76</v>
      </c>
      <c r="P9" s="55"/>
      <c r="Q9" s="25"/>
      <c r="R9" s="25"/>
      <c r="S9" s="25"/>
      <c r="T9" s="25"/>
      <c r="U9" s="41">
        <v>33247</v>
      </c>
      <c r="V9" s="42">
        <v>8.8</v>
      </c>
      <c r="W9" s="42">
        <v>8.1</v>
      </c>
      <c r="X9" s="42">
        <v>8.65</v>
      </c>
      <c r="Y9" s="42">
        <v>8.14</v>
      </c>
      <c r="Z9" s="42">
        <v>0.727546562</v>
      </c>
      <c r="AA9" s="41">
        <v>29</v>
      </c>
      <c r="AB9" s="41">
        <v>199103</v>
      </c>
      <c r="AC9" s="41">
        <f>AC8+1</f>
      </c>
    </row>
    <row x14ac:dyDescent="0.25" r="10" customHeight="1" ht="18.75">
      <c r="A10" s="25"/>
      <c r="B10" s="25"/>
      <c r="C10" s="25"/>
      <c r="D10" s="25"/>
      <c r="E10" s="42"/>
      <c r="F10" s="25"/>
      <c r="G10" s="25"/>
      <c r="H10" s="25"/>
      <c r="I10" s="25"/>
      <c r="J10" s="43"/>
      <c r="K10" s="44"/>
      <c r="L10" s="44"/>
      <c r="M10" s="44"/>
      <c r="N10" s="73">
        <v>2</v>
      </c>
      <c r="O10" s="74">
        <f>$O$22+($M$16*N10)</f>
      </c>
      <c r="P10" s="75"/>
      <c r="Q10" s="76" t="s">
        <v>77</v>
      </c>
      <c r="R10" s="25"/>
      <c r="S10" s="25"/>
      <c r="T10" s="25"/>
      <c r="U10" s="41">
        <v>33248</v>
      </c>
      <c r="V10" s="42">
        <v>8.41</v>
      </c>
      <c r="W10" s="42">
        <v>8.13</v>
      </c>
      <c r="X10" s="42">
        <v>8.31</v>
      </c>
      <c r="Y10" s="42">
        <v>8.23</v>
      </c>
      <c r="Z10" s="42">
        <v>0.739997297</v>
      </c>
      <c r="AA10" s="41">
        <v>30</v>
      </c>
      <c r="AB10" s="41">
        <v>199103</v>
      </c>
      <c r="AC10" s="41">
        <f>AC9+1</f>
      </c>
    </row>
    <row x14ac:dyDescent="0.25" r="11" customHeight="1" ht="18.75">
      <c r="A11" s="25"/>
      <c r="B11" s="25"/>
      <c r="C11" s="25"/>
      <c r="D11" s="25"/>
      <c r="E11" s="42"/>
      <c r="F11" s="25"/>
      <c r="G11" s="25"/>
      <c r="H11" s="25"/>
      <c r="I11" s="25"/>
      <c r="J11" s="43"/>
      <c r="K11" s="44"/>
      <c r="L11" s="44"/>
      <c r="M11" s="44"/>
      <c r="N11" s="77">
        <v>1.764</v>
      </c>
      <c r="O11" s="78">
        <f>$O$22+($M$16*N11)</f>
      </c>
      <c r="P11" s="78">
        <f>O10-O11</f>
      </c>
      <c r="Q11" s="79"/>
      <c r="R11" s="25"/>
      <c r="S11" s="25"/>
      <c r="T11" s="25"/>
      <c r="U11" s="41">
        <v>33249</v>
      </c>
      <c r="V11" s="42">
        <v>8.65</v>
      </c>
      <c r="W11" s="42">
        <v>8.24</v>
      </c>
      <c r="X11" s="42">
        <v>8.36</v>
      </c>
      <c r="Y11" s="42">
        <v>8.32</v>
      </c>
      <c r="Z11" s="42">
        <v>0.750813337</v>
      </c>
      <c r="AA11" s="41">
        <v>31</v>
      </c>
      <c r="AB11" s="41">
        <v>199103</v>
      </c>
      <c r="AC11" s="41">
        <f>AC10+1</f>
      </c>
    </row>
    <row x14ac:dyDescent="0.25" r="12" customHeight="1" ht="18.75">
      <c r="A12" s="25"/>
      <c r="B12" s="25"/>
      <c r="C12" s="25"/>
      <c r="D12" s="25"/>
      <c r="E12" s="42"/>
      <c r="F12" s="25"/>
      <c r="G12" s="25"/>
      <c r="H12" s="25"/>
      <c r="I12" s="25"/>
      <c r="J12" s="43"/>
      <c r="K12" s="44"/>
      <c r="L12" s="44"/>
      <c r="M12" s="44"/>
      <c r="N12" s="77">
        <v>1.618</v>
      </c>
      <c r="O12" s="78">
        <f>$O$22+($M$16*N12)</f>
      </c>
      <c r="P12" s="78">
        <f>O11-O12</f>
      </c>
      <c r="Q12" s="79"/>
      <c r="R12" s="25"/>
      <c r="S12" s="25"/>
      <c r="T12" s="25"/>
      <c r="U12" s="41">
        <v>33252</v>
      </c>
      <c r="V12" s="42">
        <v>8.3</v>
      </c>
      <c r="W12" s="42">
        <v>7.71</v>
      </c>
      <c r="X12" s="42">
        <v>8.02</v>
      </c>
      <c r="Y12" s="42">
        <v>8.3</v>
      </c>
      <c r="Z12" s="42">
        <v>0.773348132</v>
      </c>
      <c r="AA12" s="41">
        <v>32</v>
      </c>
      <c r="AB12" s="41">
        <v>199103</v>
      </c>
      <c r="AC12" s="41">
        <f>AC11+1</f>
      </c>
    </row>
    <row x14ac:dyDescent="0.25" r="13" customHeight="1" ht="18.75">
      <c r="A13" s="25"/>
      <c r="B13" s="25"/>
      <c r="C13" s="25"/>
      <c r="D13" s="25"/>
      <c r="E13" s="42"/>
      <c r="F13" s="25"/>
      <c r="G13" s="25"/>
      <c r="H13" s="25"/>
      <c r="I13" s="25"/>
      <c r="J13" s="43"/>
      <c r="K13" s="44"/>
      <c r="L13" s="44"/>
      <c r="M13" s="44"/>
      <c r="N13" s="77">
        <v>1.5</v>
      </c>
      <c r="O13" s="78">
        <f>$O$22+($M$16*N13)</f>
      </c>
      <c r="P13" s="78">
        <f>O12-O13</f>
      </c>
      <c r="Q13" s="79"/>
      <c r="R13" s="25"/>
      <c r="S13" s="25"/>
      <c r="T13" s="25"/>
      <c r="U13" s="41">
        <v>33253</v>
      </c>
      <c r="V13" s="42">
        <v>8.2</v>
      </c>
      <c r="W13" s="42">
        <v>7.86</v>
      </c>
      <c r="X13" s="42">
        <v>8.15</v>
      </c>
      <c r="Y13" s="42">
        <v>8.15</v>
      </c>
      <c r="Z13" s="42">
        <v>0.787496455</v>
      </c>
      <c r="AA13" s="41">
        <v>33</v>
      </c>
      <c r="AB13" s="41">
        <v>199103</v>
      </c>
      <c r="AC13" s="41">
        <f>AC12+1</f>
      </c>
    </row>
    <row x14ac:dyDescent="0.25" r="14" customHeight="1" ht="18.75">
      <c r="A14" s="25"/>
      <c r="B14" s="25"/>
      <c r="C14" s="25"/>
      <c r="D14" s="25"/>
      <c r="E14" s="42"/>
      <c r="F14" s="25"/>
      <c r="G14" s="25"/>
      <c r="H14" s="25"/>
      <c r="I14" s="25"/>
      <c r="J14" s="43"/>
      <c r="K14" s="44"/>
      <c r="L14" s="44"/>
      <c r="M14" s="44"/>
      <c r="N14" s="77">
        <v>1.382</v>
      </c>
      <c r="O14" s="78">
        <f>$O$22+($M$16*N14)</f>
      </c>
      <c r="P14" s="78">
        <f>O13-O14</f>
      </c>
      <c r="Q14" s="79"/>
      <c r="R14" s="25"/>
      <c r="S14" s="25"/>
      <c r="T14" s="25"/>
      <c r="U14" s="41">
        <v>33254</v>
      </c>
      <c r="V14" s="42">
        <v>8.05</v>
      </c>
      <c r="W14" s="42">
        <v>7.85</v>
      </c>
      <c r="X14" s="42">
        <v>7.9</v>
      </c>
      <c r="Y14" s="42">
        <v>8.05</v>
      </c>
      <c r="Z14" s="42">
        <v>0.812670495</v>
      </c>
      <c r="AA14" s="41">
        <v>34</v>
      </c>
      <c r="AB14" s="41">
        <v>199103</v>
      </c>
      <c r="AC14" s="41">
        <f>AC13+1</f>
      </c>
    </row>
    <row x14ac:dyDescent="0.25" r="15" customHeight="1" ht="18.75">
      <c r="A15" s="25"/>
      <c r="B15" s="25"/>
      <c r="C15" s="25"/>
      <c r="D15" s="25"/>
      <c r="E15" s="42"/>
      <c r="F15" s="25"/>
      <c r="G15" s="25"/>
      <c r="H15" s="25"/>
      <c r="I15" s="25"/>
      <c r="J15" s="43"/>
      <c r="K15" s="39" t="s">
        <v>26</v>
      </c>
      <c r="L15" s="39" t="s">
        <v>78</v>
      </c>
      <c r="M15" s="39" t="s">
        <v>79</v>
      </c>
      <c r="N15" s="80">
        <v>1.236</v>
      </c>
      <c r="O15" s="81">
        <f>$O$22+($M$16*N15)</f>
      </c>
      <c r="P15" s="81">
        <f>O14-O15</f>
      </c>
      <c r="Q15" s="82"/>
      <c r="R15" s="25"/>
      <c r="S15" s="25"/>
      <c r="T15" s="25"/>
      <c r="U15" s="41">
        <v>33255</v>
      </c>
      <c r="V15" s="42">
        <v>8.98</v>
      </c>
      <c r="W15" s="42">
        <v>8.44</v>
      </c>
      <c r="X15" s="42">
        <v>8.9</v>
      </c>
      <c r="Y15" s="42">
        <v>8.72</v>
      </c>
      <c r="Z15" s="42">
        <v>0.811274717</v>
      </c>
      <c r="AA15" s="41">
        <v>35</v>
      </c>
      <c r="AB15" s="41">
        <v>199103</v>
      </c>
      <c r="AC15" s="41">
        <f>AC14+1</f>
      </c>
    </row>
    <row x14ac:dyDescent="0.25" r="16" customHeight="1" ht="18.75">
      <c r="A16" s="25"/>
      <c r="B16" s="25"/>
      <c r="C16" s="25"/>
      <c r="D16" s="25"/>
      <c r="E16" s="42"/>
      <c r="F16" s="25"/>
      <c r="G16" s="25"/>
      <c r="H16" s="25"/>
      <c r="I16" s="25"/>
      <c r="J16" s="42">
        <v>136.28</v>
      </c>
      <c r="K16" s="47">
        <v>100</v>
      </c>
      <c r="L16" s="41">
        <v>0</v>
      </c>
      <c r="M16" s="41">
        <f>K16-L16</f>
      </c>
      <c r="N16" s="83" t="s">
        <v>26</v>
      </c>
      <c r="O16" s="84">
        <f>K16</f>
      </c>
      <c r="P16" s="85">
        <f>O15-O16</f>
      </c>
      <c r="Q16" s="86" t="s">
        <v>80</v>
      </c>
      <c r="R16" s="25"/>
      <c r="S16" s="25"/>
      <c r="T16" s="25"/>
      <c r="U16" s="41">
        <v>33256</v>
      </c>
      <c r="V16" s="42">
        <v>8.95</v>
      </c>
      <c r="W16" s="42">
        <v>8.64</v>
      </c>
      <c r="X16" s="42">
        <v>8.93</v>
      </c>
      <c r="Y16" s="42">
        <v>8.64</v>
      </c>
      <c r="Z16" s="42">
        <v>0.801486536</v>
      </c>
      <c r="AA16" s="41">
        <v>36</v>
      </c>
      <c r="AB16" s="41">
        <v>199103</v>
      </c>
      <c r="AC16" s="41">
        <f>AC15+1</f>
      </c>
    </row>
    <row x14ac:dyDescent="0.25" r="17" customHeight="1" ht="18.75">
      <c r="A17" s="25"/>
      <c r="B17" s="25"/>
      <c r="C17" s="25"/>
      <c r="D17" s="25"/>
      <c r="E17" s="42"/>
      <c r="F17" s="25"/>
      <c r="G17" s="25"/>
      <c r="H17" s="25"/>
      <c r="I17" s="25"/>
      <c r="J17" s="43"/>
      <c r="K17" s="44"/>
      <c r="L17" s="44"/>
      <c r="M17" s="44"/>
      <c r="N17" s="87">
        <v>0.236</v>
      </c>
      <c r="O17" s="88">
        <f>$K$16-($M$16*N17)</f>
      </c>
      <c r="P17" s="85">
        <f>O16-O17</f>
      </c>
      <c r="Q17" s="89"/>
      <c r="R17" s="25"/>
      <c r="S17" s="25"/>
      <c r="T17" s="25"/>
      <c r="U17" s="41">
        <v>33259</v>
      </c>
      <c r="V17" s="42">
        <v>8.98</v>
      </c>
      <c r="W17" s="42">
        <v>8.71</v>
      </c>
      <c r="X17" s="42">
        <v>8.83</v>
      </c>
      <c r="Y17" s="42">
        <v>8.79</v>
      </c>
      <c r="Z17" s="42">
        <v>0.792281095</v>
      </c>
      <c r="AA17" s="41">
        <v>37</v>
      </c>
      <c r="AB17" s="41">
        <v>199103</v>
      </c>
      <c r="AC17" s="41">
        <f>AC16+1</f>
      </c>
    </row>
    <row x14ac:dyDescent="0.25" r="18" customHeight="1" ht="18.75">
      <c r="A18" s="25"/>
      <c r="B18" s="25"/>
      <c r="C18" s="25"/>
      <c r="D18" s="25"/>
      <c r="E18" s="42"/>
      <c r="F18" s="25"/>
      <c r="G18" s="25"/>
      <c r="H18" s="25"/>
      <c r="I18" s="25"/>
      <c r="J18" s="43"/>
      <c r="K18" s="44"/>
      <c r="L18" s="44"/>
      <c r="M18" s="44"/>
      <c r="N18" s="87">
        <v>0.382</v>
      </c>
      <c r="O18" s="88">
        <f>$K$16-($M$16*N18)</f>
      </c>
      <c r="P18" s="85">
        <f>O17-O18</f>
      </c>
      <c r="Q18" s="89"/>
      <c r="R18" s="25"/>
      <c r="S18" s="25"/>
      <c r="T18" s="25"/>
      <c r="U18" s="41">
        <v>33260</v>
      </c>
      <c r="V18" s="42">
        <v>8.83</v>
      </c>
      <c r="W18" s="42">
        <v>8.56</v>
      </c>
      <c r="X18" s="42">
        <v>8.77</v>
      </c>
      <c r="Y18" s="42">
        <v>8.73</v>
      </c>
      <c r="Z18" s="42">
        <v>0.766339133</v>
      </c>
      <c r="AA18" s="41">
        <v>38</v>
      </c>
      <c r="AB18" s="41">
        <v>199103</v>
      </c>
      <c r="AC18" s="41">
        <f>AC17+1</f>
      </c>
    </row>
    <row x14ac:dyDescent="0.25" r="19" customHeight="1" ht="18.75">
      <c r="A19" s="25"/>
      <c r="B19" s="25"/>
      <c r="C19" s="25"/>
      <c r="D19" s="25"/>
      <c r="E19" s="42"/>
      <c r="F19" s="25"/>
      <c r="G19" s="25"/>
      <c r="H19" s="25"/>
      <c r="I19" s="25"/>
      <c r="J19" s="43"/>
      <c r="K19" s="44"/>
      <c r="L19" s="44"/>
      <c r="M19" s="44"/>
      <c r="N19" s="87">
        <v>0.5</v>
      </c>
      <c r="O19" s="88">
        <f>$K$16-($M$16*N20)</f>
      </c>
      <c r="P19" s="85">
        <f>O18-O19</f>
      </c>
      <c r="Q19" s="89"/>
      <c r="R19" s="25"/>
      <c r="S19" s="25"/>
      <c r="T19" s="25"/>
      <c r="U19" s="41">
        <v>33261</v>
      </c>
      <c r="V19" s="42">
        <v>8.96</v>
      </c>
      <c r="W19" s="42">
        <v>8.62</v>
      </c>
      <c r="X19" s="42">
        <v>8.83</v>
      </c>
      <c r="Y19" s="42">
        <v>8.68</v>
      </c>
      <c r="Z19" s="42">
        <v>0.727836291</v>
      </c>
      <c r="AA19" s="41">
        <v>39</v>
      </c>
      <c r="AB19" s="41">
        <v>199103</v>
      </c>
      <c r="AC19" s="41">
        <f>AC18+1</f>
      </c>
    </row>
    <row x14ac:dyDescent="0.25" r="20" customHeight="1" ht="18.75">
      <c r="A20" s="25"/>
      <c r="B20" s="25"/>
      <c r="C20" s="25"/>
      <c r="D20" s="25"/>
      <c r="E20" s="43"/>
      <c r="F20" s="25"/>
      <c r="G20" s="25"/>
      <c r="H20" s="25"/>
      <c r="I20" s="25"/>
      <c r="J20" s="43"/>
      <c r="K20" s="44"/>
      <c r="L20" s="44"/>
      <c r="M20" s="44"/>
      <c r="N20" s="87">
        <v>0.618</v>
      </c>
      <c r="O20" s="88">
        <f>$K$16-($M$16*N21)</f>
      </c>
      <c r="P20" s="85">
        <f>O19-O20</f>
      </c>
      <c r="Q20" s="89"/>
      <c r="R20" s="25"/>
      <c r="S20" s="25"/>
      <c r="T20" s="25"/>
      <c r="U20" s="41">
        <v>33262</v>
      </c>
      <c r="V20" s="42">
        <v>9.58</v>
      </c>
      <c r="W20" s="42">
        <v>8.94</v>
      </c>
      <c r="X20" s="42">
        <v>9.57</v>
      </c>
      <c r="Y20" s="42">
        <v>8.94</v>
      </c>
      <c r="Z20" s="42">
        <v>0.661456726</v>
      </c>
      <c r="AA20" s="41">
        <v>40</v>
      </c>
      <c r="AB20" s="41">
        <v>199103</v>
      </c>
      <c r="AC20" s="41">
        <f>AC19+1</f>
      </c>
    </row>
    <row x14ac:dyDescent="0.25" r="21" customHeight="1" ht="18.75">
      <c r="A21" s="25"/>
      <c r="B21" s="25"/>
      <c r="C21" s="25"/>
      <c r="D21" s="25"/>
      <c r="E21" s="43"/>
      <c r="F21" s="25"/>
      <c r="G21" s="25"/>
      <c r="H21" s="25"/>
      <c r="I21" s="25"/>
      <c r="J21" s="43"/>
      <c r="K21" s="44"/>
      <c r="L21" s="44"/>
      <c r="M21" s="44"/>
      <c r="N21" s="87">
        <v>0.786</v>
      </c>
      <c r="O21" s="88">
        <f>$K$16-($M$16*N22)</f>
      </c>
      <c r="P21" s="85">
        <f>O20-O21</f>
      </c>
      <c r="Q21" s="89"/>
      <c r="R21" s="25"/>
      <c r="S21" s="25"/>
      <c r="T21" s="25"/>
      <c r="U21" s="41">
        <v>33263</v>
      </c>
      <c r="V21" s="42">
        <v>9.76</v>
      </c>
      <c r="W21" s="42">
        <v>9.45</v>
      </c>
      <c r="X21" s="42">
        <v>9.56</v>
      </c>
      <c r="Y21" s="42">
        <v>9.65</v>
      </c>
      <c r="Z21" s="42">
        <v>0.62412659</v>
      </c>
      <c r="AA21" s="41">
        <v>41</v>
      </c>
      <c r="AB21" s="41">
        <v>199103</v>
      </c>
      <c r="AC21" s="41">
        <f>AC20+1</f>
      </c>
    </row>
    <row x14ac:dyDescent="0.25" r="22" customHeight="1" ht="18.75">
      <c r="A22" s="25"/>
      <c r="B22" s="25"/>
      <c r="C22" s="25"/>
      <c r="D22" s="25"/>
      <c r="E22" s="43"/>
      <c r="F22" s="25"/>
      <c r="G22" s="25"/>
      <c r="H22" s="25"/>
      <c r="I22" s="25"/>
      <c r="J22" s="43"/>
      <c r="K22" s="44"/>
      <c r="L22" s="44"/>
      <c r="M22" s="44"/>
      <c r="N22" s="90" t="s">
        <v>27</v>
      </c>
      <c r="O22" s="91">
        <f>L16</f>
      </c>
      <c r="P22" s="85">
        <f>O21-O22</f>
      </c>
      <c r="Q22" s="92"/>
      <c r="R22" s="25"/>
      <c r="S22" s="25"/>
      <c r="T22" s="25"/>
      <c r="U22" s="41">
        <v>33266</v>
      </c>
      <c r="V22" s="42">
        <v>9.49</v>
      </c>
      <c r="W22" s="42">
        <v>9.31</v>
      </c>
      <c r="X22" s="42">
        <v>9.38</v>
      </c>
      <c r="Y22" s="42">
        <v>9.44</v>
      </c>
      <c r="Z22" s="42">
        <v>0.599266774</v>
      </c>
      <c r="AA22" s="41">
        <v>42</v>
      </c>
      <c r="AB22" s="41">
        <v>199103</v>
      </c>
      <c r="AC22" s="41">
        <f>AC21+1</f>
      </c>
    </row>
    <row x14ac:dyDescent="0.25" r="23" customHeight="1" ht="18.75">
      <c r="A23" s="25"/>
      <c r="B23" s="25"/>
      <c r="C23" s="25"/>
      <c r="D23" s="25"/>
      <c r="E23" s="43"/>
      <c r="F23" s="25"/>
      <c r="G23" s="25"/>
      <c r="H23" s="25"/>
      <c r="I23" s="25"/>
      <c r="J23" s="43"/>
      <c r="K23" s="44"/>
      <c r="L23" s="44"/>
      <c r="M23" s="44"/>
      <c r="N23" s="73">
        <v>1.236</v>
      </c>
      <c r="O23" s="74">
        <f>$O$16-($M$16*N23)</f>
      </c>
      <c r="P23" s="93">
        <f>O22-O23</f>
      </c>
      <c r="Q23" s="76" t="s">
        <v>81</v>
      </c>
      <c r="R23" s="25"/>
      <c r="S23" s="25"/>
      <c r="T23" s="25"/>
      <c r="U23" s="41">
        <v>33267</v>
      </c>
      <c r="V23" s="42">
        <v>9.82</v>
      </c>
      <c r="W23" s="42">
        <v>9.49</v>
      </c>
      <c r="X23" s="42">
        <v>9.71</v>
      </c>
      <c r="Y23" s="42">
        <v>9.49</v>
      </c>
      <c r="Z23" s="42">
        <v>0.594737477</v>
      </c>
      <c r="AA23" s="41">
        <v>43</v>
      </c>
      <c r="AB23" s="41">
        <v>199103</v>
      </c>
      <c r="AC23" s="41">
        <f>AC22+1</f>
      </c>
    </row>
    <row x14ac:dyDescent="0.25" r="24" customHeight="1" ht="18.75">
      <c r="A24" s="25"/>
      <c r="B24" s="25"/>
      <c r="C24" s="25"/>
      <c r="D24" s="25"/>
      <c r="E24" s="43"/>
      <c r="F24" s="25"/>
      <c r="G24" s="25"/>
      <c r="H24" s="25"/>
      <c r="I24" s="25"/>
      <c r="J24" s="43"/>
      <c r="K24" s="44"/>
      <c r="L24" s="44"/>
      <c r="M24" s="44"/>
      <c r="N24" s="77">
        <v>1.382</v>
      </c>
      <c r="O24" s="78">
        <f>$O$16-($M$16*N24)</f>
      </c>
      <c r="P24" s="94">
        <f>O23-O24</f>
      </c>
      <c r="Q24" s="79"/>
      <c r="R24" s="25"/>
      <c r="S24" s="25"/>
      <c r="T24" s="25"/>
      <c r="U24" s="41">
        <v>33268</v>
      </c>
      <c r="V24" s="42">
        <v>10.08</v>
      </c>
      <c r="W24" s="42">
        <v>9.73</v>
      </c>
      <c r="X24" s="42">
        <v>10.07</v>
      </c>
      <c r="Y24" s="42">
        <v>9.88</v>
      </c>
      <c r="Z24" s="42">
        <v>0.607738431</v>
      </c>
      <c r="AA24" s="41">
        <v>44</v>
      </c>
      <c r="AB24" s="41">
        <v>199103</v>
      </c>
      <c r="AC24" s="41">
        <f>AC23+1</f>
      </c>
    </row>
    <row x14ac:dyDescent="0.25" r="25" customHeight="1" ht="18.75">
      <c r="A25" s="25"/>
      <c r="B25" s="25"/>
      <c r="C25" s="25"/>
      <c r="D25" s="25"/>
      <c r="E25" s="43"/>
      <c r="F25" s="25"/>
      <c r="G25" s="25"/>
      <c r="H25" s="25"/>
      <c r="I25" s="25"/>
      <c r="J25" s="43"/>
      <c r="K25" s="44"/>
      <c r="L25" s="44"/>
      <c r="M25" s="44"/>
      <c r="N25" s="77">
        <v>1.5</v>
      </c>
      <c r="O25" s="78">
        <f>$O$16-($M$16*N25)</f>
      </c>
      <c r="P25" s="94">
        <f>O24-O25</f>
      </c>
      <c r="Q25" s="79"/>
      <c r="R25" s="25"/>
      <c r="S25" s="25"/>
      <c r="T25" s="25"/>
      <c r="U25" s="41">
        <v>33269</v>
      </c>
      <c r="V25" s="42">
        <v>10.2</v>
      </c>
      <c r="W25" s="42">
        <v>9.75</v>
      </c>
      <c r="X25" s="42">
        <v>10.07</v>
      </c>
      <c r="Y25" s="42">
        <v>10.05</v>
      </c>
      <c r="Z25" s="42">
        <v>0.668501558</v>
      </c>
      <c r="AA25" s="41">
        <v>45</v>
      </c>
      <c r="AB25" s="41">
        <v>199103</v>
      </c>
      <c r="AC25" s="41">
        <f>AC24+1</f>
      </c>
    </row>
    <row x14ac:dyDescent="0.25" r="26" customHeight="1" ht="18.75">
      <c r="A26" s="25"/>
      <c r="B26" s="25"/>
      <c r="C26" s="25"/>
      <c r="D26" s="25"/>
      <c r="E26" s="43"/>
      <c r="F26" s="25"/>
      <c r="G26" s="25"/>
      <c r="H26" s="25"/>
      <c r="I26" s="25"/>
      <c r="J26" s="43"/>
      <c r="K26" s="44"/>
      <c r="L26" s="44"/>
      <c r="M26" s="44"/>
      <c r="N26" s="77">
        <v>1.618</v>
      </c>
      <c r="O26" s="78">
        <f>$O$16-($M$16*N26)</f>
      </c>
      <c r="P26" s="94">
        <f>O27-O28</f>
      </c>
      <c r="Q26" s="79"/>
      <c r="R26" s="25"/>
      <c r="S26" s="25"/>
      <c r="T26" s="25"/>
      <c r="U26" s="41">
        <v>33270</v>
      </c>
      <c r="V26" s="42">
        <v>10.45</v>
      </c>
      <c r="W26" s="42">
        <v>9.95</v>
      </c>
      <c r="X26" s="42">
        <v>10.27</v>
      </c>
      <c r="Y26" s="42">
        <v>10.15</v>
      </c>
      <c r="Z26" s="42">
        <v>0.730290581</v>
      </c>
      <c r="AA26" s="41">
        <v>46</v>
      </c>
      <c r="AB26" s="41">
        <v>199103</v>
      </c>
      <c r="AC26" s="41">
        <f>AC25+1</f>
      </c>
    </row>
    <row x14ac:dyDescent="0.25" r="27" customHeight="1" ht="18.75">
      <c r="A27" s="25"/>
      <c r="B27" s="25"/>
      <c r="C27" s="25"/>
      <c r="D27" s="25"/>
      <c r="E27" s="43"/>
      <c r="F27" s="25"/>
      <c r="G27" s="25"/>
      <c r="H27" s="25"/>
      <c r="I27" s="25"/>
      <c r="J27" s="43"/>
      <c r="K27" s="44"/>
      <c r="L27" s="44"/>
      <c r="M27" s="44"/>
      <c r="N27" s="77">
        <v>1.764</v>
      </c>
      <c r="O27" s="78">
        <f>$O$16-($M$16*N27)</f>
      </c>
      <c r="P27" s="94">
        <f>O28-O29</f>
      </c>
      <c r="Q27" s="79"/>
      <c r="R27" s="25"/>
      <c r="S27" s="25"/>
      <c r="T27" s="25"/>
      <c r="U27" s="41">
        <v>33273</v>
      </c>
      <c r="V27" s="42">
        <v>10.4</v>
      </c>
      <c r="W27" s="42">
        <v>10.27</v>
      </c>
      <c r="X27" s="42">
        <v>10.32</v>
      </c>
      <c r="Y27" s="42">
        <v>10.33</v>
      </c>
      <c r="Z27" s="42">
        <v>0.783086415</v>
      </c>
      <c r="AA27" s="41">
        <v>47</v>
      </c>
      <c r="AB27" s="41">
        <v>199103</v>
      </c>
      <c r="AC27" s="41">
        <f>AC26+1</f>
      </c>
    </row>
    <row x14ac:dyDescent="0.25" r="28" customHeight="1" ht="18.75">
      <c r="A28" s="25"/>
      <c r="B28" s="25"/>
      <c r="C28" s="25"/>
      <c r="D28" s="25"/>
      <c r="E28" s="43"/>
      <c r="F28" s="25"/>
      <c r="G28" s="25"/>
      <c r="H28" s="25"/>
      <c r="I28" s="25"/>
      <c r="J28" s="43"/>
      <c r="K28" s="44"/>
      <c r="L28" s="44"/>
      <c r="M28" s="44"/>
      <c r="N28" s="80">
        <v>2</v>
      </c>
      <c r="O28" s="81">
        <f>$O$16-($M$16*N28)</f>
      </c>
      <c r="P28" s="95">
        <f>O29-O30</f>
      </c>
      <c r="Q28" s="82"/>
      <c r="R28" s="25"/>
      <c r="S28" s="25"/>
      <c r="T28" s="25"/>
      <c r="U28" s="41">
        <v>33274</v>
      </c>
      <c r="V28" s="42">
        <v>11.25</v>
      </c>
      <c r="W28" s="42">
        <v>10.38</v>
      </c>
      <c r="X28" s="42">
        <v>11.15</v>
      </c>
      <c r="Y28" s="42">
        <v>10.38</v>
      </c>
      <c r="Z28" s="42">
        <v>0.890519137</v>
      </c>
      <c r="AA28" s="41">
        <v>48</v>
      </c>
      <c r="AB28" s="41">
        <v>199103</v>
      </c>
      <c r="AC28" s="41">
        <f>AC27+1</f>
      </c>
    </row>
    <row x14ac:dyDescent="0.25" r="29" customHeight="1" ht="18.75">
      <c r="A29" s="25"/>
      <c r="B29" s="25"/>
      <c r="C29" s="25"/>
      <c r="D29" s="25"/>
      <c r="E29" s="43"/>
      <c r="F29" s="25"/>
      <c r="G29" s="25"/>
      <c r="H29" s="25"/>
      <c r="I29" s="25"/>
      <c r="J29" s="43"/>
      <c r="K29" s="44"/>
      <c r="L29" s="44"/>
      <c r="M29" s="44"/>
      <c r="N29" s="69"/>
      <c r="O29" s="55"/>
      <c r="P29" s="55"/>
      <c r="Q29" s="25"/>
      <c r="R29" s="25"/>
      <c r="S29" s="25"/>
      <c r="T29" s="25"/>
      <c r="U29" s="44"/>
      <c r="V29" s="43"/>
      <c r="W29" s="43"/>
      <c r="X29" s="43"/>
      <c r="Y29" s="43"/>
      <c r="Z29" s="43"/>
      <c r="AA29" s="44"/>
      <c r="AB29" s="44"/>
      <c r="AC29" s="44"/>
    </row>
    <row x14ac:dyDescent="0.25" r="30" customHeight="1" ht="18.75">
      <c r="A30" s="25"/>
      <c r="B30" s="25"/>
      <c r="C30" s="25"/>
      <c r="D30" s="11"/>
      <c r="E30" s="43"/>
      <c r="F30" s="25"/>
      <c r="G30" s="25"/>
      <c r="H30" s="25"/>
      <c r="I30" s="25"/>
      <c r="J30" s="43"/>
      <c r="K30" s="44"/>
      <c r="L30" s="44"/>
      <c r="M30" s="44"/>
      <c r="N30" s="71" t="s">
        <v>75</v>
      </c>
      <c r="O30" s="72" t="s">
        <v>76</v>
      </c>
      <c r="P30" s="55"/>
      <c r="Q30" s="25"/>
      <c r="R30" s="25"/>
      <c r="S30" s="25"/>
      <c r="T30" s="25"/>
      <c r="U30" s="44"/>
      <c r="V30" s="43"/>
      <c r="W30" s="43"/>
      <c r="X30" s="43"/>
      <c r="Y30" s="43"/>
      <c r="Z30" s="43"/>
      <c r="AA30" s="44"/>
      <c r="AB30" s="44"/>
      <c r="AC30" s="44"/>
    </row>
    <row x14ac:dyDescent="0.25" r="31" customHeight="1" ht="18.75">
      <c r="A31" s="25"/>
      <c r="B31" s="25"/>
      <c r="C31" s="25"/>
      <c r="D31" s="25"/>
      <c r="E31" s="43"/>
      <c r="F31" s="25"/>
      <c r="G31" s="25"/>
      <c r="H31" s="25"/>
      <c r="I31" s="25"/>
      <c r="J31" s="43"/>
      <c r="K31" s="44"/>
      <c r="L31" s="44"/>
      <c r="M31" s="44"/>
      <c r="N31" s="73">
        <v>2</v>
      </c>
      <c r="O31" s="74">
        <f>$L$37+($M$37*N31)</f>
      </c>
      <c r="P31" s="75"/>
      <c r="Q31" s="76" t="s">
        <v>77</v>
      </c>
      <c r="R31" s="25"/>
      <c r="S31" s="25"/>
      <c r="T31" s="25"/>
      <c r="U31" s="44"/>
      <c r="V31" s="43"/>
      <c r="W31" s="43"/>
      <c r="X31" s="43"/>
      <c r="Y31" s="43"/>
      <c r="Z31" s="43"/>
      <c r="AA31" s="44"/>
      <c r="AB31" s="44"/>
      <c r="AC31" s="44"/>
    </row>
    <row x14ac:dyDescent="0.25" r="32" customHeight="1" ht="18.75">
      <c r="A32" s="25"/>
      <c r="B32" s="25"/>
      <c r="C32" s="25"/>
      <c r="D32" s="25"/>
      <c r="E32" s="43"/>
      <c r="F32" s="25"/>
      <c r="G32" s="25"/>
      <c r="H32" s="25"/>
      <c r="I32" s="25"/>
      <c r="J32" s="43"/>
      <c r="K32" s="44"/>
      <c r="L32" s="44"/>
      <c r="M32" s="44"/>
      <c r="N32" s="77">
        <v>1.764</v>
      </c>
      <c r="O32" s="74">
        <f>$L$37+($M$37*N32)</f>
      </c>
      <c r="P32" s="78">
        <f>O31-O32</f>
      </c>
      <c r="Q32" s="79"/>
      <c r="R32" s="25"/>
      <c r="S32" s="25"/>
      <c r="T32" s="25"/>
      <c r="U32" s="44"/>
      <c r="V32" s="43"/>
      <c r="W32" s="43"/>
      <c r="X32" s="43"/>
      <c r="Y32" s="43"/>
      <c r="Z32" s="43"/>
      <c r="AA32" s="44"/>
      <c r="AB32" s="44"/>
      <c r="AC32" s="44"/>
    </row>
    <row x14ac:dyDescent="0.25" r="33" customHeight="1" ht="18.75">
      <c r="A33" s="25"/>
      <c r="B33" s="25"/>
      <c r="C33" s="25"/>
      <c r="D33" s="25"/>
      <c r="E33" s="43"/>
      <c r="F33" s="25"/>
      <c r="G33" s="25"/>
      <c r="H33" s="25"/>
      <c r="I33" s="25"/>
      <c r="J33" s="43"/>
      <c r="K33" s="44"/>
      <c r="L33" s="44"/>
      <c r="M33" s="44"/>
      <c r="N33" s="77">
        <v>1.618</v>
      </c>
      <c r="O33" s="74">
        <f>$L$37+($M$37*N33)</f>
      </c>
      <c r="P33" s="78">
        <f>O32-O33</f>
      </c>
      <c r="Q33" s="79"/>
      <c r="R33" s="25"/>
      <c r="S33" s="25"/>
      <c r="T33" s="25"/>
      <c r="U33" s="44"/>
      <c r="V33" s="43"/>
      <c r="W33" s="43"/>
      <c r="X33" s="43"/>
      <c r="Y33" s="43"/>
      <c r="Z33" s="43"/>
      <c r="AA33" s="44"/>
      <c r="AB33" s="44"/>
      <c r="AC33" s="44"/>
    </row>
    <row x14ac:dyDescent="0.25" r="34" customHeight="1" ht="18.75">
      <c r="A34" s="25"/>
      <c r="B34" s="25"/>
      <c r="C34" s="25"/>
      <c r="D34" s="25"/>
      <c r="E34" s="43"/>
      <c r="F34" s="25"/>
      <c r="G34" s="25"/>
      <c r="H34" s="25"/>
      <c r="I34" s="25"/>
      <c r="J34" s="43"/>
      <c r="K34" s="44"/>
      <c r="L34" s="44"/>
      <c r="M34" s="44"/>
      <c r="N34" s="77">
        <v>1.5</v>
      </c>
      <c r="O34" s="74">
        <f>$L$37+($M$37*N34)</f>
      </c>
      <c r="P34" s="78">
        <f>O33-O34</f>
      </c>
      <c r="Q34" s="79"/>
      <c r="R34" s="25"/>
      <c r="S34" s="25"/>
      <c r="T34" s="25"/>
      <c r="U34" s="44"/>
      <c r="V34" s="43"/>
      <c r="W34" s="43"/>
      <c r="X34" s="43"/>
      <c r="Y34" s="43"/>
      <c r="Z34" s="43"/>
      <c r="AA34" s="44"/>
      <c r="AB34" s="44"/>
      <c r="AC34" s="44"/>
    </row>
    <row x14ac:dyDescent="0.25" r="35" customHeight="1" ht="18.75">
      <c r="A35" s="25"/>
      <c r="B35" s="25"/>
      <c r="C35" s="25"/>
      <c r="D35" s="25"/>
      <c r="E35" s="43"/>
      <c r="F35" s="25"/>
      <c r="G35" s="25"/>
      <c r="H35" s="25"/>
      <c r="I35" s="25"/>
      <c r="J35" s="43"/>
      <c r="K35" s="44"/>
      <c r="L35" s="44"/>
      <c r="M35" s="44"/>
      <c r="N35" s="77">
        <v>1.382</v>
      </c>
      <c r="O35" s="74">
        <f>$L$37+($M$37*N35)</f>
      </c>
      <c r="P35" s="78">
        <f>O34-O35</f>
      </c>
      <c r="Q35" s="79"/>
      <c r="R35" s="25"/>
      <c r="S35" s="25"/>
      <c r="T35" s="25"/>
      <c r="U35" s="44"/>
      <c r="V35" s="43"/>
      <c r="W35" s="43"/>
      <c r="X35" s="43"/>
      <c r="Y35" s="43"/>
      <c r="Z35" s="43"/>
      <c r="AA35" s="44"/>
      <c r="AB35" s="44"/>
      <c r="AC35" s="44"/>
    </row>
    <row x14ac:dyDescent="0.25" r="36" customHeight="1" ht="18.75">
      <c r="A36" s="25"/>
      <c r="B36" s="25"/>
      <c r="C36" s="25"/>
      <c r="D36" s="25"/>
      <c r="E36" s="43"/>
      <c r="F36" s="25"/>
      <c r="G36" s="25"/>
      <c r="H36" s="25"/>
      <c r="I36" s="25"/>
      <c r="J36" s="43"/>
      <c r="K36" s="39" t="s">
        <v>26</v>
      </c>
      <c r="L36" s="39" t="s">
        <v>78</v>
      </c>
      <c r="M36" s="39" t="s">
        <v>79</v>
      </c>
      <c r="N36" s="80">
        <v>1.236</v>
      </c>
      <c r="O36" s="74">
        <f>$L$37+($M$37*N36)</f>
      </c>
      <c r="P36" s="81">
        <f>O35-O36</f>
      </c>
      <c r="Q36" s="82"/>
      <c r="R36" s="25"/>
      <c r="S36" s="25"/>
      <c r="T36" s="25"/>
      <c r="U36" s="44"/>
      <c r="V36" s="43"/>
      <c r="W36" s="43"/>
      <c r="X36" s="43"/>
      <c r="Y36" s="43"/>
      <c r="Z36" s="43"/>
      <c r="AA36" s="44"/>
      <c r="AB36" s="44"/>
      <c r="AC36" s="44"/>
    </row>
    <row x14ac:dyDescent="0.25" r="37" customHeight="1" ht="18.75">
      <c r="A37" s="25"/>
      <c r="B37" s="25"/>
      <c r="C37" s="25"/>
      <c r="D37" s="25"/>
      <c r="E37" s="43"/>
      <c r="F37" s="25"/>
      <c r="G37" s="25"/>
      <c r="H37" s="25"/>
      <c r="I37" s="25"/>
      <c r="J37" s="42">
        <v>136.28</v>
      </c>
      <c r="K37" s="47">
        <v>21073</v>
      </c>
      <c r="L37" s="41">
        <v>19152</v>
      </c>
      <c r="M37" s="41">
        <f>K37-L37</f>
      </c>
      <c r="N37" s="83" t="s">
        <v>26</v>
      </c>
      <c r="O37" s="84">
        <f>K37</f>
      </c>
      <c r="P37" s="85">
        <f>O36-O37</f>
      </c>
      <c r="Q37" s="86" t="s">
        <v>80</v>
      </c>
      <c r="R37" s="25"/>
      <c r="S37" s="25"/>
      <c r="T37" s="25"/>
      <c r="U37" s="44"/>
      <c r="V37" s="43"/>
      <c r="W37" s="43"/>
      <c r="X37" s="43"/>
      <c r="Y37" s="43"/>
      <c r="Z37" s="43"/>
      <c r="AA37" s="44"/>
      <c r="AB37" s="44"/>
      <c r="AC37" s="44"/>
    </row>
    <row x14ac:dyDescent="0.25" r="38" customHeight="1" ht="18.75">
      <c r="A38" s="25"/>
      <c r="B38" s="25"/>
      <c r="C38" s="25"/>
      <c r="D38" s="25"/>
      <c r="E38" s="43"/>
      <c r="F38" s="25"/>
      <c r="G38" s="25"/>
      <c r="H38" s="25"/>
      <c r="I38" s="25"/>
      <c r="J38" s="43"/>
      <c r="K38" s="44"/>
      <c r="L38" s="44"/>
      <c r="M38" s="44"/>
      <c r="N38" s="87">
        <v>0.236</v>
      </c>
      <c r="O38" s="88">
        <f>$K$37-($M$37*N38)</f>
      </c>
      <c r="P38" s="85">
        <f>O37-O38</f>
      </c>
      <c r="Q38" s="89"/>
      <c r="R38" s="25"/>
      <c r="S38" s="25"/>
      <c r="T38" s="25"/>
      <c r="U38" s="44"/>
      <c r="V38" s="43"/>
      <c r="W38" s="43"/>
      <c r="X38" s="43"/>
      <c r="Y38" s="43"/>
      <c r="Z38" s="43"/>
      <c r="AA38" s="44"/>
      <c r="AB38" s="44"/>
      <c r="AC38" s="44"/>
    </row>
    <row x14ac:dyDescent="0.25" r="39" customHeight="1" ht="18.75">
      <c r="A39" s="25"/>
      <c r="B39" s="25"/>
      <c r="C39" s="25"/>
      <c r="D39" s="25"/>
      <c r="E39" s="43"/>
      <c r="F39" s="25"/>
      <c r="G39" s="25"/>
      <c r="H39" s="25"/>
      <c r="I39" s="25"/>
      <c r="J39" s="43"/>
      <c r="K39" s="44"/>
      <c r="L39" s="44"/>
      <c r="M39" s="44"/>
      <c r="N39" s="87">
        <v>0.382</v>
      </c>
      <c r="O39" s="88">
        <f>$K$37-($M$37*N39)</f>
      </c>
      <c r="P39" s="85">
        <f>O38-O39</f>
      </c>
      <c r="Q39" s="89"/>
      <c r="R39" s="25"/>
      <c r="S39" s="25"/>
      <c r="T39" s="25"/>
      <c r="U39" s="44"/>
      <c r="V39" s="43"/>
      <c r="W39" s="43"/>
      <c r="X39" s="43"/>
      <c r="Y39" s="43"/>
      <c r="Z39" s="43"/>
      <c r="AA39" s="44"/>
      <c r="AB39" s="44"/>
      <c r="AC39" s="44"/>
    </row>
    <row x14ac:dyDescent="0.25" r="40" customHeight="1" ht="18.75">
      <c r="A40" s="25"/>
      <c r="B40" s="25"/>
      <c r="C40" s="25"/>
      <c r="D40" s="25"/>
      <c r="E40" s="43"/>
      <c r="F40" s="25"/>
      <c r="G40" s="25"/>
      <c r="H40" s="25"/>
      <c r="I40" s="25"/>
      <c r="J40" s="43"/>
      <c r="K40" s="44"/>
      <c r="L40" s="44"/>
      <c r="M40" s="44"/>
      <c r="N40" s="87">
        <v>0.5</v>
      </c>
      <c r="O40" s="88">
        <f>$K$37-($M$37*N40)</f>
      </c>
      <c r="P40" s="85">
        <f>O39-O40</f>
      </c>
      <c r="Q40" s="89"/>
      <c r="R40" s="25"/>
      <c r="S40" s="25"/>
      <c r="T40" s="25"/>
      <c r="U40" s="44"/>
      <c r="V40" s="43"/>
      <c r="W40" s="43"/>
      <c r="X40" s="43"/>
      <c r="Y40" s="43"/>
      <c r="Z40" s="43"/>
      <c r="AA40" s="44"/>
      <c r="AB40" s="44"/>
      <c r="AC40" s="44"/>
    </row>
    <row x14ac:dyDescent="0.25" r="41" customHeight="1" ht="18.75">
      <c r="A41" s="25"/>
      <c r="B41" s="25"/>
      <c r="C41" s="25"/>
      <c r="D41" s="25"/>
      <c r="E41" s="43"/>
      <c r="F41" s="25"/>
      <c r="G41" s="25"/>
      <c r="H41" s="25"/>
      <c r="I41" s="25"/>
      <c r="J41" s="43"/>
      <c r="K41" s="44"/>
      <c r="L41" s="44"/>
      <c r="M41" s="44"/>
      <c r="N41" s="87">
        <v>0.618</v>
      </c>
      <c r="O41" s="88">
        <f>$K$37-($M$37*N41)</f>
      </c>
      <c r="P41" s="85">
        <f>O40-O41</f>
      </c>
      <c r="Q41" s="89"/>
      <c r="R41" s="25"/>
      <c r="S41" s="25"/>
      <c r="T41" s="25"/>
      <c r="U41" s="44"/>
      <c r="V41" s="43"/>
      <c r="W41" s="43"/>
      <c r="X41" s="43"/>
      <c r="Y41" s="43"/>
      <c r="Z41" s="43"/>
      <c r="AA41" s="44"/>
      <c r="AB41" s="44"/>
      <c r="AC41" s="44"/>
    </row>
    <row x14ac:dyDescent="0.25" r="42" customHeight="1" ht="18.75">
      <c r="A42" s="25"/>
      <c r="B42" s="25"/>
      <c r="C42" s="25"/>
      <c r="D42" s="25"/>
      <c r="E42" s="43"/>
      <c r="F42" s="25"/>
      <c r="G42" s="25"/>
      <c r="H42" s="25"/>
      <c r="I42" s="25"/>
      <c r="J42" s="43"/>
      <c r="K42" s="44"/>
      <c r="L42" s="44"/>
      <c r="M42" s="44"/>
      <c r="N42" s="87">
        <v>0.786</v>
      </c>
      <c r="O42" s="88">
        <f>$K$37-($M$37*N42)</f>
      </c>
      <c r="P42" s="85">
        <f>O41-O42</f>
      </c>
      <c r="Q42" s="89"/>
      <c r="R42" s="25"/>
      <c r="S42" s="25"/>
      <c r="T42" s="25"/>
      <c r="U42" s="44"/>
      <c r="V42" s="43"/>
      <c r="W42" s="43"/>
      <c r="X42" s="43"/>
      <c r="Y42" s="43"/>
      <c r="Z42" s="43"/>
      <c r="AA42" s="44"/>
      <c r="AB42" s="44"/>
      <c r="AC42" s="44"/>
    </row>
    <row x14ac:dyDescent="0.25" r="43" customHeight="1" ht="18.75">
      <c r="A43" s="25"/>
      <c r="B43" s="25"/>
      <c r="C43" s="25"/>
      <c r="D43" s="25"/>
      <c r="E43" s="43"/>
      <c r="F43" s="25"/>
      <c r="G43" s="25"/>
      <c r="H43" s="25"/>
      <c r="I43" s="25"/>
      <c r="J43" s="43"/>
      <c r="K43" s="44"/>
      <c r="L43" s="44"/>
      <c r="M43" s="44"/>
      <c r="N43" s="90" t="s">
        <v>27</v>
      </c>
      <c r="O43" s="91">
        <f>L37</f>
      </c>
      <c r="P43" s="85">
        <f>O42-O43</f>
      </c>
      <c r="Q43" s="92"/>
      <c r="R43" s="25"/>
      <c r="S43" s="25"/>
      <c r="T43" s="25"/>
      <c r="U43" s="44"/>
      <c r="V43" s="43"/>
      <c r="W43" s="43"/>
      <c r="X43" s="43"/>
      <c r="Y43" s="43"/>
      <c r="Z43" s="43"/>
      <c r="AA43" s="44"/>
      <c r="AB43" s="44"/>
      <c r="AC43" s="44"/>
    </row>
    <row x14ac:dyDescent="0.25" r="44" customHeight="1" ht="18.75">
      <c r="A44" s="25"/>
      <c r="B44" s="25"/>
      <c r="C44" s="25"/>
      <c r="D44" s="25"/>
      <c r="E44" s="43"/>
      <c r="F44" s="25"/>
      <c r="G44" s="25"/>
      <c r="H44" s="25"/>
      <c r="I44" s="25"/>
      <c r="J44" s="43"/>
      <c r="K44" s="44"/>
      <c r="L44" s="44"/>
      <c r="M44" s="44"/>
      <c r="N44" s="73">
        <v>1.236</v>
      </c>
      <c r="O44" s="74">
        <f>$K$37-($M$37*N44)</f>
      </c>
      <c r="P44" s="93">
        <f>O43-O44</f>
      </c>
      <c r="Q44" s="76" t="s">
        <v>81</v>
      </c>
      <c r="R44" s="25"/>
      <c r="S44" s="25"/>
      <c r="T44" s="25"/>
      <c r="U44" s="44"/>
      <c r="V44" s="43"/>
      <c r="W44" s="43"/>
      <c r="X44" s="43"/>
      <c r="Y44" s="43"/>
      <c r="Z44" s="43"/>
      <c r="AA44" s="44"/>
      <c r="AB44" s="44"/>
      <c r="AC44" s="44"/>
    </row>
    <row x14ac:dyDescent="0.25" r="45" customHeight="1" ht="18.75">
      <c r="A45" s="25"/>
      <c r="B45" s="25"/>
      <c r="C45" s="25"/>
      <c r="D45" s="25"/>
      <c r="E45" s="43"/>
      <c r="F45" s="25"/>
      <c r="G45" s="25"/>
      <c r="H45" s="25"/>
      <c r="I45" s="25"/>
      <c r="J45" s="43"/>
      <c r="K45" s="44"/>
      <c r="L45" s="44"/>
      <c r="M45" s="44"/>
      <c r="N45" s="77">
        <v>1.382</v>
      </c>
      <c r="O45" s="74">
        <f>$K$37-($M$37*N45)</f>
      </c>
      <c r="P45" s="94">
        <f>O44-O45</f>
      </c>
      <c r="Q45" s="79"/>
      <c r="R45" s="25"/>
      <c r="S45" s="25"/>
      <c r="T45" s="25"/>
      <c r="U45" s="44"/>
      <c r="V45" s="43"/>
      <c r="W45" s="43"/>
      <c r="X45" s="43"/>
      <c r="Y45" s="43"/>
      <c r="Z45" s="43"/>
      <c r="AA45" s="44"/>
      <c r="AB45" s="44"/>
      <c r="AC45" s="44"/>
    </row>
    <row x14ac:dyDescent="0.25" r="46" customHeight="1" ht="18.75">
      <c r="A46" s="25"/>
      <c r="B46" s="25"/>
      <c r="C46" s="25"/>
      <c r="D46" s="25"/>
      <c r="E46" s="43"/>
      <c r="F46" s="25"/>
      <c r="G46" s="25"/>
      <c r="H46" s="25"/>
      <c r="I46" s="25"/>
      <c r="J46" s="43"/>
      <c r="K46" s="44"/>
      <c r="L46" s="44"/>
      <c r="M46" s="44"/>
      <c r="N46" s="77">
        <v>1.5</v>
      </c>
      <c r="O46" s="74">
        <f>$K$37-($M$37*N46)</f>
      </c>
      <c r="P46" s="94">
        <f>O45-O46</f>
      </c>
      <c r="Q46" s="79"/>
      <c r="R46" s="25"/>
      <c r="S46" s="25"/>
      <c r="T46" s="25"/>
      <c r="U46" s="44"/>
      <c r="V46" s="43"/>
      <c r="W46" s="43"/>
      <c r="X46" s="43"/>
      <c r="Y46" s="43"/>
      <c r="Z46" s="43"/>
      <c r="AA46" s="44"/>
      <c r="AB46" s="44"/>
      <c r="AC46" s="44"/>
    </row>
    <row x14ac:dyDescent="0.25" r="47" customHeight="1" ht="18.75">
      <c r="A47" s="25"/>
      <c r="B47" s="25"/>
      <c r="C47" s="25"/>
      <c r="D47" s="25"/>
      <c r="E47" s="43"/>
      <c r="F47" s="25"/>
      <c r="G47" s="25"/>
      <c r="H47" s="25"/>
      <c r="I47" s="25"/>
      <c r="J47" s="43"/>
      <c r="K47" s="44"/>
      <c r="L47" s="44"/>
      <c r="M47" s="44"/>
      <c r="N47" s="77">
        <v>1.618</v>
      </c>
      <c r="O47" s="74">
        <f>$K$37-($M$37*N47)</f>
      </c>
      <c r="P47" s="94">
        <f>O46-O47</f>
      </c>
      <c r="Q47" s="79"/>
      <c r="R47" s="25"/>
      <c r="S47" s="25"/>
      <c r="T47" s="25"/>
      <c r="U47" s="44"/>
      <c r="V47" s="43"/>
      <c r="W47" s="43"/>
      <c r="X47" s="43"/>
      <c r="Y47" s="43"/>
      <c r="Z47" s="43"/>
      <c r="AA47" s="44"/>
      <c r="AB47" s="44"/>
      <c r="AC47" s="44"/>
    </row>
    <row x14ac:dyDescent="0.25" r="48" customHeight="1" ht="18.75">
      <c r="A48" s="25"/>
      <c r="B48" s="25"/>
      <c r="C48" s="25"/>
      <c r="D48" s="25"/>
      <c r="E48" s="43"/>
      <c r="F48" s="25"/>
      <c r="G48" s="25"/>
      <c r="H48" s="25"/>
      <c r="I48" s="25"/>
      <c r="J48" s="43"/>
      <c r="K48" s="44"/>
      <c r="L48" s="44"/>
      <c r="M48" s="44"/>
      <c r="N48" s="77">
        <v>1.764</v>
      </c>
      <c r="O48" s="74">
        <f>$K$37-($M$37*N48)</f>
      </c>
      <c r="P48" s="94">
        <f>O47-O48</f>
      </c>
      <c r="Q48" s="79"/>
      <c r="R48" s="25"/>
      <c r="S48" s="25"/>
      <c r="T48" s="25"/>
      <c r="U48" s="44"/>
      <c r="V48" s="43"/>
      <c r="W48" s="43"/>
      <c r="X48" s="43"/>
      <c r="Y48" s="43"/>
      <c r="Z48" s="43"/>
      <c r="AA48" s="44"/>
      <c r="AB48" s="44"/>
      <c r="AC48" s="44"/>
    </row>
    <row x14ac:dyDescent="0.25" r="49" customHeight="1" ht="18.75">
      <c r="A49" s="25"/>
      <c r="B49" s="25"/>
      <c r="C49" s="25"/>
      <c r="D49" s="25"/>
      <c r="E49" s="43"/>
      <c r="F49" s="25"/>
      <c r="G49" s="25"/>
      <c r="H49" s="25"/>
      <c r="I49" s="25"/>
      <c r="J49" s="43"/>
      <c r="K49" s="44"/>
      <c r="L49" s="44"/>
      <c r="M49" s="44"/>
      <c r="N49" s="80">
        <v>2</v>
      </c>
      <c r="O49" s="96">
        <f>$K$37-($M$37*N49)</f>
      </c>
      <c r="P49" s="95">
        <f>O48-O49</f>
      </c>
      <c r="Q49" s="82"/>
      <c r="R49" s="25"/>
      <c r="S49" s="25"/>
      <c r="T49" s="25"/>
      <c r="U49" s="44"/>
      <c r="V49" s="43"/>
      <c r="W49" s="43"/>
      <c r="X49" s="43"/>
      <c r="Y49" s="43"/>
      <c r="Z49" s="43"/>
      <c r="AA49" s="44"/>
      <c r="AB49" s="44"/>
      <c r="AC49" s="44"/>
    </row>
    <row x14ac:dyDescent="0.25" r="50" customHeight="1" ht="18.75">
      <c r="A50" s="25"/>
      <c r="B50" s="25"/>
      <c r="C50" s="25"/>
      <c r="D50" s="25"/>
      <c r="E50" s="43"/>
      <c r="F50" s="25"/>
      <c r="G50" s="25"/>
      <c r="H50" s="25"/>
      <c r="I50" s="25"/>
      <c r="J50" s="43"/>
      <c r="K50" s="44"/>
      <c r="L50" s="44"/>
      <c r="M50" s="44"/>
      <c r="N50" s="69"/>
      <c r="O50" s="55"/>
      <c r="P50" s="55"/>
      <c r="Q50" s="25"/>
      <c r="R50" s="25"/>
      <c r="S50" s="25"/>
      <c r="T50" s="25"/>
      <c r="U50" s="44"/>
      <c r="V50" s="43"/>
      <c r="W50" s="43"/>
      <c r="X50" s="43"/>
      <c r="Y50" s="43"/>
      <c r="Z50" s="43"/>
      <c r="AA50" s="44"/>
      <c r="AB50" s="44"/>
      <c r="AC50" s="44"/>
    </row>
    <row x14ac:dyDescent="0.25" r="51" customHeight="1" ht="18.75">
      <c r="A51" s="25"/>
      <c r="B51" s="25"/>
      <c r="C51" s="25"/>
      <c r="D51" s="25"/>
      <c r="E51" s="43"/>
      <c r="F51" s="25"/>
      <c r="G51" s="25"/>
      <c r="H51" s="25"/>
      <c r="I51" s="25"/>
      <c r="J51" s="43"/>
      <c r="K51" s="44"/>
      <c r="L51" s="44"/>
      <c r="M51" s="44"/>
      <c r="N51" s="71" t="s">
        <v>75</v>
      </c>
      <c r="O51" s="72" t="s">
        <v>76</v>
      </c>
      <c r="P51" s="55"/>
      <c r="Q51" s="25"/>
      <c r="R51" s="25"/>
      <c r="S51" s="25"/>
      <c r="T51" s="25"/>
      <c r="U51" s="44"/>
      <c r="V51" s="43"/>
      <c r="W51" s="43"/>
      <c r="X51" s="43"/>
      <c r="Y51" s="43"/>
      <c r="Z51" s="43"/>
      <c r="AA51" s="44"/>
      <c r="AB51" s="44"/>
      <c r="AC51" s="44"/>
    </row>
    <row x14ac:dyDescent="0.25" r="52" customHeight="1" ht="18.75">
      <c r="A52" s="25"/>
      <c r="B52" s="25"/>
      <c r="C52" s="25"/>
      <c r="D52" s="25"/>
      <c r="E52" s="43"/>
      <c r="F52" s="25"/>
      <c r="G52" s="25"/>
      <c r="H52" s="25"/>
      <c r="I52" s="25"/>
      <c r="J52" s="43"/>
      <c r="K52" s="44"/>
      <c r="L52" s="44"/>
      <c r="M52" s="44"/>
      <c r="N52" s="73">
        <v>2</v>
      </c>
      <c r="O52" s="74">
        <f>$L$58+($M$58*N52)</f>
      </c>
      <c r="P52" s="75"/>
      <c r="Q52" s="76" t="s">
        <v>77</v>
      </c>
      <c r="R52" s="25"/>
      <c r="S52" s="25"/>
      <c r="T52" s="25"/>
      <c r="U52" s="44"/>
      <c r="V52" s="43"/>
      <c r="W52" s="43"/>
      <c r="X52" s="43"/>
      <c r="Y52" s="43"/>
      <c r="Z52" s="43"/>
      <c r="AA52" s="44"/>
      <c r="AB52" s="44"/>
      <c r="AC52" s="44"/>
    </row>
    <row x14ac:dyDescent="0.25" r="53" customHeight="1" ht="18.75">
      <c r="A53" s="25"/>
      <c r="B53" s="25"/>
      <c r="C53" s="25"/>
      <c r="D53" s="25"/>
      <c r="E53" s="43"/>
      <c r="F53" s="25"/>
      <c r="G53" s="25"/>
      <c r="H53" s="25"/>
      <c r="I53" s="25"/>
      <c r="J53" s="43"/>
      <c r="K53" s="44"/>
      <c r="L53" s="44"/>
      <c r="M53" s="44"/>
      <c r="N53" s="77">
        <v>1.764</v>
      </c>
      <c r="O53" s="74">
        <f>$L$58+($M$58*N53)</f>
      </c>
      <c r="P53" s="78">
        <f>O52-O53</f>
      </c>
      <c r="Q53" s="79"/>
      <c r="R53" s="25"/>
      <c r="S53" s="25"/>
      <c r="T53" s="25"/>
      <c r="U53" s="44"/>
      <c r="V53" s="43"/>
      <c r="W53" s="43"/>
      <c r="X53" s="43"/>
      <c r="Y53" s="43"/>
      <c r="Z53" s="43"/>
      <c r="AA53" s="44"/>
      <c r="AB53" s="44"/>
      <c r="AC53" s="44"/>
    </row>
    <row x14ac:dyDescent="0.25" r="54" customHeight="1" ht="18.75">
      <c r="A54" s="25"/>
      <c r="B54" s="25"/>
      <c r="C54" s="25"/>
      <c r="D54" s="25"/>
      <c r="E54" s="43"/>
      <c r="F54" s="25"/>
      <c r="G54" s="25"/>
      <c r="H54" s="25"/>
      <c r="I54" s="25"/>
      <c r="J54" s="43"/>
      <c r="K54" s="44"/>
      <c r="L54" s="44"/>
      <c r="M54" s="44"/>
      <c r="N54" s="77">
        <v>1.618</v>
      </c>
      <c r="O54" s="74">
        <f>$L$58+($M$58*N54)</f>
      </c>
      <c r="P54" s="78">
        <f>O53-O54</f>
      </c>
      <c r="Q54" s="79"/>
      <c r="R54" s="25"/>
      <c r="S54" s="25"/>
      <c r="T54" s="25"/>
      <c r="U54" s="44"/>
      <c r="V54" s="43"/>
      <c r="W54" s="43"/>
      <c r="X54" s="43"/>
      <c r="Y54" s="43"/>
      <c r="Z54" s="43"/>
      <c r="AA54" s="44"/>
      <c r="AB54" s="44"/>
      <c r="AC54" s="44"/>
    </row>
    <row x14ac:dyDescent="0.25" r="55" customHeight="1" ht="18.75">
      <c r="A55" s="25"/>
      <c r="B55" s="25"/>
      <c r="C55" s="25"/>
      <c r="D55" s="25"/>
      <c r="E55" s="43"/>
      <c r="F55" s="25"/>
      <c r="G55" s="25"/>
      <c r="H55" s="25"/>
      <c r="I55" s="25"/>
      <c r="J55" s="43"/>
      <c r="K55" s="44"/>
      <c r="L55" s="44"/>
      <c r="M55" s="44"/>
      <c r="N55" s="77">
        <v>1.5</v>
      </c>
      <c r="O55" s="74">
        <f>$L$58+($M$58*N55)</f>
      </c>
      <c r="P55" s="78">
        <f>O54-O55</f>
      </c>
      <c r="Q55" s="79"/>
      <c r="R55" s="25"/>
      <c r="S55" s="25"/>
      <c r="T55" s="25"/>
      <c r="U55" s="44"/>
      <c r="V55" s="43"/>
      <c r="W55" s="43"/>
      <c r="X55" s="43"/>
      <c r="Y55" s="43"/>
      <c r="Z55" s="43"/>
      <c r="AA55" s="44"/>
      <c r="AB55" s="44"/>
      <c r="AC55" s="44"/>
    </row>
    <row x14ac:dyDescent="0.25" r="56" customHeight="1" ht="18.75">
      <c r="A56" s="25"/>
      <c r="B56" s="25"/>
      <c r="C56" s="25"/>
      <c r="D56" s="25"/>
      <c r="E56" s="43"/>
      <c r="F56" s="25"/>
      <c r="G56" s="25"/>
      <c r="H56" s="25"/>
      <c r="I56" s="25"/>
      <c r="J56" s="43"/>
      <c r="K56" s="44"/>
      <c r="L56" s="44"/>
      <c r="M56" s="44"/>
      <c r="N56" s="77">
        <v>1.382</v>
      </c>
      <c r="O56" s="74">
        <f>$L$58+($M$58*N56)</f>
      </c>
      <c r="P56" s="78">
        <f>O55-O56</f>
      </c>
      <c r="Q56" s="79"/>
      <c r="R56" s="25"/>
      <c r="S56" s="25"/>
      <c r="T56" s="25"/>
      <c r="U56" s="44"/>
      <c r="V56" s="43"/>
      <c r="W56" s="43"/>
      <c r="X56" s="43"/>
      <c r="Y56" s="43"/>
      <c r="Z56" s="43"/>
      <c r="AA56" s="44"/>
      <c r="AB56" s="44"/>
      <c r="AC56" s="44"/>
    </row>
    <row x14ac:dyDescent="0.25" r="57" customHeight="1" ht="18.75">
      <c r="A57" s="25"/>
      <c r="B57" s="25"/>
      <c r="C57" s="25"/>
      <c r="D57" s="25"/>
      <c r="E57" s="43"/>
      <c r="F57" s="25"/>
      <c r="G57" s="25"/>
      <c r="H57" s="25"/>
      <c r="I57" s="25"/>
      <c r="J57" s="43"/>
      <c r="K57" s="39" t="s">
        <v>26</v>
      </c>
      <c r="L57" s="39" t="s">
        <v>78</v>
      </c>
      <c r="M57" s="39" t="s">
        <v>79</v>
      </c>
      <c r="N57" s="80">
        <v>1.236</v>
      </c>
      <c r="O57" s="74">
        <f>$L$58+($M$58*N57)</f>
      </c>
      <c r="P57" s="81">
        <f>O56-O57</f>
      </c>
      <c r="Q57" s="82"/>
      <c r="R57" s="25"/>
      <c r="S57" s="25"/>
      <c r="T57" s="25"/>
      <c r="U57" s="44"/>
      <c r="V57" s="43"/>
      <c r="W57" s="43"/>
      <c r="X57" s="43"/>
      <c r="Y57" s="43"/>
      <c r="Z57" s="43"/>
      <c r="AA57" s="44"/>
      <c r="AB57" s="44"/>
      <c r="AC57" s="44"/>
    </row>
    <row x14ac:dyDescent="0.25" r="58" customHeight="1" ht="18.75">
      <c r="A58" s="25"/>
      <c r="B58" s="25"/>
      <c r="C58" s="25"/>
      <c r="D58" s="25"/>
      <c r="E58" s="43"/>
      <c r="F58" s="25"/>
      <c r="G58" s="25"/>
      <c r="H58" s="25"/>
      <c r="I58" s="25"/>
      <c r="J58" s="42">
        <v>136.28</v>
      </c>
      <c r="K58" s="47">
        <v>22222</v>
      </c>
      <c r="L58" s="41">
        <v>19152</v>
      </c>
      <c r="M58" s="41">
        <f>K58-L58</f>
      </c>
      <c r="N58" s="83" t="s">
        <v>26</v>
      </c>
      <c r="O58" s="84">
        <f>K58</f>
      </c>
      <c r="P58" s="85">
        <f>O57-O58</f>
      </c>
      <c r="Q58" s="86" t="s">
        <v>80</v>
      </c>
      <c r="R58" s="25"/>
      <c r="S58" s="25"/>
      <c r="T58" s="25"/>
      <c r="U58" s="44"/>
      <c r="V58" s="43"/>
      <c r="W58" s="43"/>
      <c r="X58" s="43"/>
      <c r="Y58" s="43"/>
      <c r="Z58" s="43"/>
      <c r="AA58" s="44"/>
      <c r="AB58" s="44"/>
      <c r="AC58" s="44"/>
    </row>
    <row x14ac:dyDescent="0.25" r="59" customHeight="1" ht="18.75">
      <c r="A59" s="25"/>
      <c r="B59" s="25"/>
      <c r="C59" s="25"/>
      <c r="D59" s="25"/>
      <c r="E59" s="43"/>
      <c r="F59" s="25"/>
      <c r="G59" s="25"/>
      <c r="H59" s="25"/>
      <c r="I59" s="25"/>
      <c r="J59" s="43"/>
      <c r="K59" s="44"/>
      <c r="L59" s="44"/>
      <c r="M59" s="44"/>
      <c r="N59" s="87">
        <v>0.236</v>
      </c>
      <c r="O59" s="88">
        <f>$K$58-($M$58*N59)</f>
      </c>
      <c r="P59" s="85">
        <f>O58-O59</f>
      </c>
      <c r="Q59" s="89"/>
      <c r="R59" s="25"/>
      <c r="S59" s="25"/>
      <c r="T59" s="25"/>
      <c r="U59" s="44"/>
      <c r="V59" s="43"/>
      <c r="W59" s="43"/>
      <c r="X59" s="43"/>
      <c r="Y59" s="43"/>
      <c r="Z59" s="43"/>
      <c r="AA59" s="44"/>
      <c r="AB59" s="44"/>
      <c r="AC59" s="44"/>
    </row>
    <row x14ac:dyDescent="0.25" r="60" customHeight="1" ht="18.75">
      <c r="A60" s="25"/>
      <c r="B60" s="25"/>
      <c r="C60" s="25"/>
      <c r="D60" s="25"/>
      <c r="E60" s="43"/>
      <c r="F60" s="25"/>
      <c r="G60" s="25"/>
      <c r="H60" s="25"/>
      <c r="I60" s="25"/>
      <c r="J60" s="43"/>
      <c r="K60" s="44"/>
      <c r="L60" s="44"/>
      <c r="M60" s="44"/>
      <c r="N60" s="87">
        <v>0.382</v>
      </c>
      <c r="O60" s="88">
        <f>$K$58-($M$58*N60)</f>
      </c>
      <c r="P60" s="85">
        <f>O59-O60</f>
      </c>
      <c r="Q60" s="89"/>
      <c r="R60" s="25"/>
      <c r="S60" s="25"/>
      <c r="T60" s="25"/>
      <c r="U60" s="44"/>
      <c r="V60" s="43"/>
      <c r="W60" s="43"/>
      <c r="X60" s="43"/>
      <c r="Y60" s="43"/>
      <c r="Z60" s="43"/>
      <c r="AA60" s="44"/>
      <c r="AB60" s="44"/>
      <c r="AC60" s="44"/>
    </row>
    <row x14ac:dyDescent="0.25" r="61" customHeight="1" ht="18.75">
      <c r="A61" s="25"/>
      <c r="B61" s="25"/>
      <c r="C61" s="25"/>
      <c r="D61" s="25"/>
      <c r="E61" s="43"/>
      <c r="F61" s="25"/>
      <c r="G61" s="25"/>
      <c r="H61" s="25"/>
      <c r="I61" s="25"/>
      <c r="J61" s="43"/>
      <c r="K61" s="44"/>
      <c r="L61" s="44"/>
      <c r="M61" s="44"/>
      <c r="N61" s="87">
        <v>0.5</v>
      </c>
      <c r="O61" s="88">
        <f>$K$58-($M$58*N61)</f>
      </c>
      <c r="P61" s="85">
        <f>O60-O61</f>
      </c>
      <c r="Q61" s="89"/>
      <c r="R61" s="25"/>
      <c r="S61" s="25"/>
      <c r="T61" s="25"/>
      <c r="U61" s="44"/>
      <c r="V61" s="43"/>
      <c r="W61" s="43"/>
      <c r="X61" s="43"/>
      <c r="Y61" s="43"/>
      <c r="Z61" s="43"/>
      <c r="AA61" s="44"/>
      <c r="AB61" s="44"/>
      <c r="AC61" s="44"/>
    </row>
    <row x14ac:dyDescent="0.25" r="62" customHeight="1" ht="18.75">
      <c r="A62" s="25"/>
      <c r="B62" s="25"/>
      <c r="C62" s="25"/>
      <c r="D62" s="25"/>
      <c r="E62" s="43"/>
      <c r="F62" s="25"/>
      <c r="G62" s="25"/>
      <c r="H62" s="25"/>
      <c r="I62" s="25"/>
      <c r="J62" s="43"/>
      <c r="K62" s="44"/>
      <c r="L62" s="44"/>
      <c r="M62" s="44"/>
      <c r="N62" s="87">
        <v>0.618</v>
      </c>
      <c r="O62" s="88">
        <f>$K$58-($M$58*N62)</f>
      </c>
      <c r="P62" s="85">
        <f>O61-O62</f>
      </c>
      <c r="Q62" s="89"/>
      <c r="R62" s="25"/>
      <c r="S62" s="25"/>
      <c r="T62" s="25"/>
      <c r="U62" s="44"/>
      <c r="V62" s="43"/>
      <c r="W62" s="43"/>
      <c r="X62" s="43"/>
      <c r="Y62" s="43"/>
      <c r="Z62" s="43"/>
      <c r="AA62" s="44"/>
      <c r="AB62" s="44"/>
      <c r="AC62" s="44"/>
    </row>
    <row x14ac:dyDescent="0.25" r="63" customHeight="1" ht="18.75">
      <c r="A63" s="25"/>
      <c r="B63" s="25"/>
      <c r="C63" s="25"/>
      <c r="D63" s="25"/>
      <c r="E63" s="43"/>
      <c r="F63" s="25"/>
      <c r="G63" s="25"/>
      <c r="H63" s="25"/>
      <c r="I63" s="25"/>
      <c r="J63" s="43"/>
      <c r="K63" s="44"/>
      <c r="L63" s="44"/>
      <c r="M63" s="44"/>
      <c r="N63" s="87">
        <v>0.786</v>
      </c>
      <c r="O63" s="88">
        <f>$K$58-($M$58*N63)</f>
      </c>
      <c r="P63" s="85">
        <f>O62-O63</f>
      </c>
      <c r="Q63" s="89"/>
      <c r="R63" s="25"/>
      <c r="S63" s="25"/>
      <c r="T63" s="25"/>
      <c r="U63" s="44"/>
      <c r="V63" s="43"/>
      <c r="W63" s="43"/>
      <c r="X63" s="43"/>
      <c r="Y63" s="43"/>
      <c r="Z63" s="43"/>
      <c r="AA63" s="44"/>
      <c r="AB63" s="44"/>
      <c r="AC63" s="44"/>
    </row>
    <row x14ac:dyDescent="0.25" r="64" customHeight="1" ht="18.75">
      <c r="A64" s="25"/>
      <c r="B64" s="25"/>
      <c r="C64" s="25"/>
      <c r="D64" s="25"/>
      <c r="E64" s="43"/>
      <c r="F64" s="25"/>
      <c r="G64" s="25"/>
      <c r="H64" s="25"/>
      <c r="I64" s="25"/>
      <c r="J64" s="43"/>
      <c r="K64" s="44"/>
      <c r="L64" s="44"/>
      <c r="M64" s="44"/>
      <c r="N64" s="90" t="s">
        <v>27</v>
      </c>
      <c r="O64" s="91">
        <f>L58</f>
      </c>
      <c r="P64" s="85">
        <f>O63-O64</f>
      </c>
      <c r="Q64" s="92"/>
      <c r="R64" s="25"/>
      <c r="S64" s="25"/>
      <c r="T64" s="25"/>
      <c r="U64" s="44"/>
      <c r="V64" s="43"/>
      <c r="W64" s="43"/>
      <c r="X64" s="43"/>
      <c r="Y64" s="43"/>
      <c r="Z64" s="43"/>
      <c r="AA64" s="44"/>
      <c r="AB64" s="44"/>
      <c r="AC64" s="44"/>
    </row>
    <row x14ac:dyDescent="0.25" r="65" customHeight="1" ht="18.75">
      <c r="A65" s="25"/>
      <c r="B65" s="25"/>
      <c r="C65" s="25"/>
      <c r="D65" s="25"/>
      <c r="E65" s="43"/>
      <c r="F65" s="25"/>
      <c r="G65" s="25"/>
      <c r="H65" s="25"/>
      <c r="I65" s="25"/>
      <c r="J65" s="43"/>
      <c r="K65" s="44"/>
      <c r="L65" s="44"/>
      <c r="M65" s="44"/>
      <c r="N65" s="73">
        <v>1.236</v>
      </c>
      <c r="O65" s="74">
        <f>$K$58-($M$58*N65)</f>
      </c>
      <c r="P65" s="93">
        <f>O64-O65</f>
      </c>
      <c r="Q65" s="76" t="s">
        <v>81</v>
      </c>
      <c r="R65" s="25"/>
      <c r="S65" s="25"/>
      <c r="T65" s="25"/>
      <c r="U65" s="44"/>
      <c r="V65" s="43"/>
      <c r="W65" s="43"/>
      <c r="X65" s="43"/>
      <c r="Y65" s="43"/>
      <c r="Z65" s="43"/>
      <c r="AA65" s="44"/>
      <c r="AB65" s="44"/>
      <c r="AC65" s="44"/>
    </row>
    <row x14ac:dyDescent="0.25" r="66" customHeight="1" ht="18.75">
      <c r="A66" s="25"/>
      <c r="B66" s="25"/>
      <c r="C66" s="25"/>
      <c r="D66" s="25"/>
      <c r="E66" s="43"/>
      <c r="F66" s="25"/>
      <c r="G66" s="25"/>
      <c r="H66" s="25"/>
      <c r="I66" s="25"/>
      <c r="J66" s="43"/>
      <c r="K66" s="44"/>
      <c r="L66" s="44"/>
      <c r="M66" s="44"/>
      <c r="N66" s="77">
        <v>1.382</v>
      </c>
      <c r="O66" s="74">
        <f>$K$58-($M$58*N66)</f>
      </c>
      <c r="P66" s="94">
        <f>O65-O66</f>
      </c>
      <c r="Q66" s="79"/>
      <c r="R66" s="25"/>
      <c r="S66" s="25"/>
      <c r="T66" s="25"/>
      <c r="U66" s="44"/>
      <c r="V66" s="43"/>
      <c r="W66" s="43"/>
      <c r="X66" s="43"/>
      <c r="Y66" s="43"/>
      <c r="Z66" s="43"/>
      <c r="AA66" s="44"/>
      <c r="AB66" s="44"/>
      <c r="AC66" s="44"/>
    </row>
    <row x14ac:dyDescent="0.25" r="67" customHeight="1" ht="18.75">
      <c r="A67" s="25"/>
      <c r="B67" s="25"/>
      <c r="C67" s="25"/>
      <c r="D67" s="25"/>
      <c r="E67" s="43"/>
      <c r="F67" s="25"/>
      <c r="G67" s="25"/>
      <c r="H67" s="25"/>
      <c r="I67" s="25"/>
      <c r="J67" s="43"/>
      <c r="K67" s="44"/>
      <c r="L67" s="44"/>
      <c r="M67" s="44"/>
      <c r="N67" s="77">
        <v>1.5</v>
      </c>
      <c r="O67" s="74">
        <f>$K$58-($M$58*N67)</f>
      </c>
      <c r="P67" s="94">
        <f>O66-O67</f>
      </c>
      <c r="Q67" s="79"/>
      <c r="R67" s="25"/>
      <c r="S67" s="25"/>
      <c r="T67" s="25"/>
      <c r="U67" s="44"/>
      <c r="V67" s="43"/>
      <c r="W67" s="43"/>
      <c r="X67" s="43"/>
      <c r="Y67" s="43"/>
      <c r="Z67" s="43"/>
      <c r="AA67" s="44"/>
      <c r="AB67" s="44"/>
      <c r="AC67" s="44"/>
    </row>
    <row x14ac:dyDescent="0.25" r="68" customHeight="1" ht="18.75">
      <c r="A68" s="25"/>
      <c r="B68" s="25"/>
      <c r="C68" s="25"/>
      <c r="D68" s="25"/>
      <c r="E68" s="43"/>
      <c r="F68" s="25"/>
      <c r="G68" s="25"/>
      <c r="H68" s="25"/>
      <c r="I68" s="25"/>
      <c r="J68" s="43"/>
      <c r="K68" s="44"/>
      <c r="L68" s="44"/>
      <c r="M68" s="44"/>
      <c r="N68" s="77">
        <v>1.618</v>
      </c>
      <c r="O68" s="74">
        <f>$K$58-($M$58*N68)</f>
      </c>
      <c r="P68" s="94">
        <f>O67-O68</f>
      </c>
      <c r="Q68" s="79"/>
      <c r="R68" s="25"/>
      <c r="S68" s="25"/>
      <c r="T68" s="25"/>
      <c r="U68" s="44"/>
      <c r="V68" s="43"/>
      <c r="W68" s="43"/>
      <c r="X68" s="43"/>
      <c r="Y68" s="43"/>
      <c r="Z68" s="43"/>
      <c r="AA68" s="44"/>
      <c r="AB68" s="44"/>
      <c r="AC68" s="44"/>
    </row>
    <row x14ac:dyDescent="0.25" r="69" customHeight="1" ht="18.75">
      <c r="A69" s="25"/>
      <c r="B69" s="25"/>
      <c r="C69" s="25"/>
      <c r="D69" s="25"/>
      <c r="E69" s="43"/>
      <c r="F69" s="25"/>
      <c r="G69" s="25"/>
      <c r="H69" s="25"/>
      <c r="I69" s="25"/>
      <c r="J69" s="43"/>
      <c r="K69" s="44"/>
      <c r="L69" s="44"/>
      <c r="M69" s="44"/>
      <c r="N69" s="77">
        <v>1.764</v>
      </c>
      <c r="O69" s="74">
        <f>$K$58-($M$58*N69)</f>
      </c>
      <c r="P69" s="94">
        <f>O68-O69</f>
      </c>
      <c r="Q69" s="79"/>
      <c r="R69" s="25"/>
      <c r="S69" s="25"/>
      <c r="T69" s="25"/>
      <c r="U69" s="44"/>
      <c r="V69" s="43"/>
      <c r="W69" s="43"/>
      <c r="X69" s="43"/>
      <c r="Y69" s="43"/>
      <c r="Z69" s="43"/>
      <c r="AA69" s="44"/>
      <c r="AB69" s="44"/>
      <c r="AC69" s="44"/>
    </row>
    <row x14ac:dyDescent="0.25" r="70" customHeight="1" ht="18.75">
      <c r="A70" s="25"/>
      <c r="B70" s="25"/>
      <c r="C70" s="25"/>
      <c r="D70" s="25"/>
      <c r="E70" s="43"/>
      <c r="F70" s="25"/>
      <c r="G70" s="25"/>
      <c r="H70" s="25"/>
      <c r="I70" s="25"/>
      <c r="J70" s="43"/>
      <c r="K70" s="44"/>
      <c r="L70" s="44"/>
      <c r="M70" s="44"/>
      <c r="N70" s="80">
        <v>2</v>
      </c>
      <c r="O70" s="74">
        <f>$K$58-($M$58*N70)</f>
      </c>
      <c r="P70" s="95">
        <f>O69-O70</f>
      </c>
      <c r="Q70" s="82"/>
      <c r="R70" s="25"/>
      <c r="S70" s="25"/>
      <c r="T70" s="25"/>
      <c r="U70" s="44"/>
      <c r="V70" s="43"/>
      <c r="W70" s="43"/>
      <c r="X70" s="43"/>
      <c r="Y70" s="43"/>
      <c r="Z70" s="43"/>
      <c r="AA70" s="44"/>
      <c r="AB70" s="44"/>
      <c r="AC70" s="44"/>
    </row>
  </sheetData>
  <mergeCells count="9">
    <mergeCell ref="Q10:Q15"/>
    <mergeCell ref="Q16:Q22"/>
    <mergeCell ref="Q23:Q28"/>
    <mergeCell ref="Q31:Q36"/>
    <mergeCell ref="Q37:Q43"/>
    <mergeCell ref="Q44:Q49"/>
    <mergeCell ref="Q52:Q57"/>
    <mergeCell ref="Q58:Q64"/>
    <mergeCell ref="Q65:Q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8"/>
  <sheetViews>
    <sheetView workbookViewId="0"/>
  </sheetViews>
  <sheetFormatPr defaultRowHeight="15" x14ac:dyDescent="0.25"/>
  <cols>
    <col min="1" max="1" style="29" width="13.576428571428572" customWidth="1" bestFit="1"/>
    <col min="2" max="2" style="29" width="10.576428571428572" customWidth="1" bestFit="1"/>
    <col min="3" max="3" style="45" width="13.576428571428572" customWidth="1" bestFit="1"/>
    <col min="4" max="4" style="30" width="13.576428571428572" customWidth="1" bestFit="1"/>
    <col min="5" max="5" style="68" width="13.576428571428572" customWidth="1" bestFit="1"/>
    <col min="6" max="6" style="68" width="10.576428571428572" customWidth="1" bestFit="1"/>
    <col min="7" max="7" style="68" width="13.576428571428572" customWidth="1" bestFit="1"/>
    <col min="8" max="8" style="30" width="13.576428571428572" customWidth="1" bestFit="1"/>
    <col min="9" max="9" style="68" width="13.576428571428572" customWidth="1" bestFit="1"/>
    <col min="10" max="10" style="68" width="10.576428571428572" customWidth="1" bestFit="1"/>
    <col min="11" max="11" style="68" width="13.576428571428572" customWidth="1" bestFit="1"/>
  </cols>
  <sheetData>
    <row x14ac:dyDescent="0.25" r="1" customHeight="1" ht="18.75">
      <c r="A1" s="54"/>
      <c r="B1" s="54"/>
      <c r="C1" s="55"/>
      <c r="D1" s="25"/>
      <c r="E1" s="56"/>
      <c r="F1" s="56"/>
      <c r="G1" s="56"/>
      <c r="H1" s="25"/>
      <c r="I1" s="56"/>
      <c r="J1" s="56"/>
      <c r="K1" s="56"/>
    </row>
    <row x14ac:dyDescent="0.25" r="2" customHeight="1" ht="18.75">
      <c r="A2" s="57">
        <f>Sheet1!N10</f>
      </c>
      <c r="B2" s="57">
        <f>Sheet1!O10</f>
      </c>
      <c r="C2" s="57">
        <f>Sheet1!P10</f>
      </c>
      <c r="D2" s="11" t="s">
        <v>64</v>
      </c>
      <c r="E2" s="58">
        <f>Sheet1!N31</f>
      </c>
      <c r="F2" s="58">
        <f>Sheet1!O31</f>
      </c>
      <c r="G2" s="58">
        <f>Sheet1!P31</f>
      </c>
      <c r="H2" s="25"/>
      <c r="I2" s="58">
        <f>Sheet1!N52</f>
      </c>
      <c r="J2" s="58">
        <f>Sheet1!O52</f>
      </c>
      <c r="K2" s="58">
        <f>Sheet1!P52</f>
      </c>
    </row>
    <row x14ac:dyDescent="0.25" r="3" customHeight="1" ht="18.75">
      <c r="A3" s="57">
        <f>Sheet1!N11</f>
      </c>
      <c r="B3" s="57">
        <f>Sheet1!O11</f>
      </c>
      <c r="C3" s="57">
        <f>Sheet1!P11</f>
      </c>
      <c r="D3" s="59">
        <f>D2</f>
      </c>
      <c r="E3" s="58">
        <f>Sheet1!N32</f>
      </c>
      <c r="F3" s="58">
        <f>Sheet1!O32</f>
      </c>
      <c r="G3" s="58">
        <f>Sheet1!P32</f>
      </c>
      <c r="H3" s="25"/>
      <c r="I3" s="58">
        <f>Sheet1!N53</f>
      </c>
      <c r="J3" s="58">
        <f>Sheet1!O53</f>
      </c>
      <c r="K3" s="58">
        <f>Sheet1!P53</f>
      </c>
    </row>
    <row x14ac:dyDescent="0.25" r="4" customHeight="1" ht="18.75">
      <c r="A4" s="57">
        <f>Sheet1!N12</f>
      </c>
      <c r="B4" s="57">
        <f>Sheet1!O12</f>
      </c>
      <c r="C4" s="57">
        <f>Sheet1!P12</f>
      </c>
      <c r="D4" s="59">
        <f>D3</f>
      </c>
      <c r="E4" s="58">
        <f>Sheet1!N33</f>
      </c>
      <c r="F4" s="58">
        <f>Sheet1!O33</f>
      </c>
      <c r="G4" s="58">
        <f>Sheet1!P33</f>
      </c>
      <c r="H4" s="25"/>
      <c r="I4" s="58">
        <f>Sheet1!N54</f>
      </c>
      <c r="J4" s="58">
        <f>Sheet1!O54</f>
      </c>
      <c r="K4" s="58">
        <f>Sheet1!P54</f>
      </c>
    </row>
    <row x14ac:dyDescent="0.25" r="5" customHeight="1" ht="18.75">
      <c r="A5" s="57">
        <f>Sheet1!N13</f>
      </c>
      <c r="B5" s="57">
        <f>Sheet1!O13</f>
      </c>
      <c r="C5" s="57">
        <f>Sheet1!P13</f>
      </c>
      <c r="D5" s="59">
        <f>D4</f>
      </c>
      <c r="E5" s="58">
        <f>Sheet1!N34</f>
      </c>
      <c r="F5" s="58">
        <f>Sheet1!O34</f>
      </c>
      <c r="G5" s="58">
        <f>Sheet1!P34</f>
      </c>
      <c r="H5" s="25"/>
      <c r="I5" s="58">
        <f>Sheet1!N55</f>
      </c>
      <c r="J5" s="58">
        <f>Sheet1!O55</f>
      </c>
      <c r="K5" s="58">
        <f>Sheet1!P55</f>
      </c>
    </row>
    <row x14ac:dyDescent="0.25" r="6" customHeight="1" ht="18.75">
      <c r="A6" s="57">
        <f>Sheet1!N14</f>
      </c>
      <c r="B6" s="57">
        <f>Sheet1!O14</f>
      </c>
      <c r="C6" s="57">
        <f>Sheet1!P14</f>
      </c>
      <c r="D6" s="59">
        <f>D5</f>
      </c>
      <c r="E6" s="58">
        <f>Sheet1!N35</f>
      </c>
      <c r="F6" s="58">
        <f>Sheet1!O35</f>
      </c>
      <c r="G6" s="58">
        <f>Sheet1!P35</f>
      </c>
      <c r="H6" s="25"/>
      <c r="I6" s="58">
        <f>Sheet1!N56</f>
      </c>
      <c r="J6" s="58">
        <f>Sheet1!O56</f>
      </c>
      <c r="K6" s="58">
        <f>Sheet1!P56</f>
      </c>
    </row>
    <row x14ac:dyDescent="0.25" r="7" customHeight="1" ht="18.75">
      <c r="A7" s="57">
        <f>Sheet1!N15</f>
      </c>
      <c r="B7" s="57">
        <f>Sheet1!O15</f>
      </c>
      <c r="C7" s="57">
        <f>Sheet1!P15</f>
      </c>
      <c r="D7" s="59">
        <f>D6</f>
      </c>
      <c r="E7" s="58">
        <f>Sheet1!N36</f>
      </c>
      <c r="F7" s="58">
        <f>Sheet1!O36</f>
      </c>
      <c r="G7" s="58">
        <f>Sheet1!P36</f>
      </c>
      <c r="H7" s="25"/>
      <c r="I7" s="58">
        <f>Sheet1!N57</f>
      </c>
      <c r="J7" s="58">
        <f>Sheet1!O57</f>
      </c>
      <c r="K7" s="58">
        <f>Sheet1!P57</f>
      </c>
    </row>
    <row x14ac:dyDescent="0.25" r="8" customHeight="1" ht="18.75">
      <c r="A8" s="60">
        <f>Sheet1!N16</f>
      </c>
      <c r="B8" s="57">
        <f>Sheet1!O16</f>
      </c>
      <c r="C8" s="57">
        <f>Sheet1!P16</f>
      </c>
      <c r="D8" s="59">
        <f>D7</f>
      </c>
      <c r="E8" s="61">
        <f>Sheet1!N37</f>
      </c>
      <c r="F8" s="58">
        <f>Sheet1!O37</f>
      </c>
      <c r="G8" s="58">
        <f>Sheet1!P37</f>
      </c>
      <c r="H8" s="25"/>
      <c r="I8" s="61">
        <f>Sheet1!N58</f>
      </c>
      <c r="J8" s="58">
        <f>Sheet1!O58</f>
      </c>
      <c r="K8" s="58">
        <f>Sheet1!P58</f>
      </c>
    </row>
    <row x14ac:dyDescent="0.25" r="9" customHeight="1" ht="18.75">
      <c r="A9" s="57">
        <f>Sheet1!N17</f>
      </c>
      <c r="B9" s="57">
        <f>Sheet1!O17</f>
      </c>
      <c r="C9" s="57">
        <f>Sheet1!P17</f>
      </c>
      <c r="D9" s="59">
        <f>D8</f>
      </c>
      <c r="E9" s="58">
        <f>Sheet1!N38</f>
      </c>
      <c r="F9" s="58">
        <f>Sheet1!O38</f>
      </c>
      <c r="G9" s="58">
        <f>Sheet1!P38</f>
      </c>
      <c r="H9" s="25"/>
      <c r="I9" s="58">
        <f>Sheet1!N59</f>
      </c>
      <c r="J9" s="58">
        <f>Sheet1!O59</f>
      </c>
      <c r="K9" s="58">
        <f>Sheet1!P59</f>
      </c>
    </row>
    <row x14ac:dyDescent="0.25" r="10" customHeight="1" ht="18.75">
      <c r="A10" s="57">
        <f>Sheet1!N18</f>
      </c>
      <c r="B10" s="57">
        <f>Sheet1!O18</f>
      </c>
      <c r="C10" s="57">
        <f>Sheet1!P18</f>
      </c>
      <c r="D10" s="59">
        <f>D9</f>
      </c>
      <c r="E10" s="58">
        <f>Sheet1!N39</f>
      </c>
      <c r="F10" s="58">
        <f>Sheet1!O39</f>
      </c>
      <c r="G10" s="58">
        <f>Sheet1!P39</f>
      </c>
      <c r="H10" s="25"/>
      <c r="I10" s="58">
        <f>Sheet1!N60</f>
      </c>
      <c r="J10" s="58">
        <f>Sheet1!O60</f>
      </c>
      <c r="K10" s="58">
        <f>Sheet1!P60</f>
      </c>
    </row>
    <row x14ac:dyDescent="0.25" r="11" customHeight="1" ht="18.75">
      <c r="A11" s="57">
        <f>Sheet1!N19</f>
      </c>
      <c r="B11" s="57">
        <f>Sheet1!O19</f>
      </c>
      <c r="C11" s="57">
        <f>Sheet1!P19</f>
      </c>
      <c r="D11" s="59">
        <f>D10</f>
      </c>
      <c r="E11" s="58">
        <f>Sheet1!N40</f>
      </c>
      <c r="F11" s="58">
        <f>Sheet1!O40</f>
      </c>
      <c r="G11" s="58">
        <f>Sheet1!P40</f>
      </c>
      <c r="H11" s="25"/>
      <c r="I11" s="58">
        <f>Sheet1!N61</f>
      </c>
      <c r="J11" s="58">
        <f>Sheet1!O61</f>
      </c>
      <c r="K11" s="58">
        <f>Sheet1!P61</f>
      </c>
    </row>
    <row x14ac:dyDescent="0.25" r="12" customHeight="1" ht="18.75">
      <c r="A12" s="57">
        <f>Sheet1!N20</f>
      </c>
      <c r="B12" s="57">
        <f>Sheet1!O20</f>
      </c>
      <c r="C12" s="57">
        <f>Sheet1!P20</f>
      </c>
      <c r="D12" s="59">
        <f>D11</f>
      </c>
      <c r="E12" s="58">
        <f>Sheet1!N41</f>
      </c>
      <c r="F12" s="58">
        <f>Sheet1!O41</f>
      </c>
      <c r="G12" s="58">
        <f>Sheet1!P41</f>
      </c>
      <c r="H12" s="25"/>
      <c r="I12" s="58">
        <f>Sheet1!N62</f>
      </c>
      <c r="J12" s="58">
        <f>Sheet1!O62</f>
      </c>
      <c r="K12" s="58">
        <f>Sheet1!P62</f>
      </c>
    </row>
    <row x14ac:dyDescent="0.25" r="13" customHeight="1" ht="18.75">
      <c r="A13" s="57">
        <f>Sheet1!N21</f>
      </c>
      <c r="B13" s="57">
        <f>Sheet1!O21</f>
      </c>
      <c r="C13" s="57">
        <f>Sheet1!P21</f>
      </c>
      <c r="D13" s="59">
        <f>D12</f>
      </c>
      <c r="E13" s="58">
        <f>Sheet1!N42</f>
      </c>
      <c r="F13" s="58">
        <f>Sheet1!O42</f>
      </c>
      <c r="G13" s="58">
        <f>Sheet1!P42</f>
      </c>
      <c r="H13" s="25"/>
      <c r="I13" s="58">
        <f>Sheet1!N63</f>
      </c>
      <c r="J13" s="58">
        <f>Sheet1!O63</f>
      </c>
      <c r="K13" s="58">
        <f>Sheet1!P63</f>
      </c>
    </row>
    <row x14ac:dyDescent="0.25" r="14" customHeight="1" ht="18.75">
      <c r="A14" s="60">
        <f>Sheet1!N22</f>
      </c>
      <c r="B14" s="57">
        <f>Sheet1!O22</f>
      </c>
      <c r="C14" s="57">
        <f>Sheet1!P22</f>
      </c>
      <c r="D14" s="59">
        <f>D13</f>
      </c>
      <c r="E14" s="61">
        <f>Sheet1!N43</f>
      </c>
      <c r="F14" s="58">
        <f>Sheet1!O43</f>
      </c>
      <c r="G14" s="58">
        <f>Sheet1!P43</f>
      </c>
      <c r="H14" s="25"/>
      <c r="I14" s="61">
        <f>Sheet1!N64</f>
      </c>
      <c r="J14" s="58">
        <f>Sheet1!O64</f>
      </c>
      <c r="K14" s="58">
        <f>Sheet1!P64</f>
      </c>
    </row>
    <row x14ac:dyDescent="0.25" r="15" customHeight="1" ht="18.75">
      <c r="A15" s="57">
        <f>Sheet1!N23</f>
      </c>
      <c r="B15" s="57">
        <f>Sheet1!O23</f>
      </c>
      <c r="C15" s="57">
        <f>Sheet1!P23</f>
      </c>
      <c r="D15" s="59">
        <f>D14</f>
      </c>
      <c r="E15" s="58">
        <f>Sheet1!N44</f>
      </c>
      <c r="F15" s="58">
        <f>Sheet1!O44</f>
      </c>
      <c r="G15" s="58">
        <f>Sheet1!P44</f>
      </c>
      <c r="H15" s="25"/>
      <c r="I15" s="58">
        <f>Sheet1!N65</f>
      </c>
      <c r="J15" s="58">
        <f>Sheet1!O65</f>
      </c>
      <c r="K15" s="58">
        <f>Sheet1!P65</f>
      </c>
    </row>
    <row x14ac:dyDescent="0.25" r="16" customHeight="1" ht="18.75">
      <c r="A16" s="57">
        <f>Sheet1!N24</f>
      </c>
      <c r="B16" s="57">
        <f>Sheet1!O24</f>
      </c>
      <c r="C16" s="57">
        <f>Sheet1!P24</f>
      </c>
      <c r="D16" s="59">
        <f>D15</f>
      </c>
      <c r="E16" s="58">
        <f>Sheet1!N45</f>
      </c>
      <c r="F16" s="58">
        <f>Sheet1!O45</f>
      </c>
      <c r="G16" s="58">
        <f>Sheet1!P45</f>
      </c>
      <c r="H16" s="25"/>
      <c r="I16" s="58">
        <f>Sheet1!N66</f>
      </c>
      <c r="J16" s="58">
        <f>Sheet1!O66</f>
      </c>
      <c r="K16" s="58">
        <f>Sheet1!P66</f>
      </c>
    </row>
    <row x14ac:dyDescent="0.25" r="17" customHeight="1" ht="18.75">
      <c r="A17" s="57">
        <f>Sheet1!N25</f>
      </c>
      <c r="B17" s="57">
        <f>Sheet1!O25</f>
      </c>
      <c r="C17" s="57">
        <f>Sheet1!P25</f>
      </c>
      <c r="D17" s="59">
        <f>D16</f>
      </c>
      <c r="E17" s="58">
        <f>Sheet1!N46</f>
      </c>
      <c r="F17" s="58">
        <f>Sheet1!O46</f>
      </c>
      <c r="G17" s="58">
        <f>Sheet1!P46</f>
      </c>
      <c r="H17" s="25"/>
      <c r="I17" s="58">
        <f>Sheet1!N67</f>
      </c>
      <c r="J17" s="58">
        <f>Sheet1!O67</f>
      </c>
      <c r="K17" s="58">
        <f>Sheet1!P67</f>
      </c>
    </row>
    <row x14ac:dyDescent="0.25" r="18" customHeight="1" ht="18.75">
      <c r="A18" s="57">
        <f>Sheet1!N26</f>
      </c>
      <c r="B18" s="57">
        <f>Sheet1!O26</f>
      </c>
      <c r="C18" s="57">
        <f>Sheet1!P26</f>
      </c>
      <c r="D18" s="59">
        <f>D17</f>
      </c>
      <c r="E18" s="58">
        <f>Sheet1!N47</f>
      </c>
      <c r="F18" s="58">
        <f>Sheet1!O47</f>
      </c>
      <c r="G18" s="58">
        <f>Sheet1!P47</f>
      </c>
      <c r="H18" s="25"/>
      <c r="I18" s="58">
        <f>Sheet1!N68</f>
      </c>
      <c r="J18" s="58">
        <f>Sheet1!O68</f>
      </c>
      <c r="K18" s="58">
        <f>Sheet1!P68</f>
      </c>
    </row>
    <row x14ac:dyDescent="0.25" r="19" customHeight="1" ht="18.75">
      <c r="A19" s="57">
        <f>Sheet1!N27</f>
      </c>
      <c r="B19" s="57">
        <f>Sheet1!O27</f>
      </c>
      <c r="C19" s="57">
        <f>Sheet1!P27</f>
      </c>
      <c r="D19" s="59">
        <f>D18</f>
      </c>
      <c r="E19" s="58">
        <f>Sheet1!N48</f>
      </c>
      <c r="F19" s="58">
        <f>Sheet1!O48</f>
      </c>
      <c r="G19" s="58">
        <f>Sheet1!P48</f>
      </c>
      <c r="H19" s="25"/>
      <c r="I19" s="58">
        <f>Sheet1!N69</f>
      </c>
      <c r="J19" s="58">
        <f>Sheet1!O69</f>
      </c>
      <c r="K19" s="58">
        <f>Sheet1!P69</f>
      </c>
    </row>
    <row x14ac:dyDescent="0.25" r="20" customHeight="1" ht="18.75">
      <c r="A20" s="57">
        <f>Sheet1!N28</f>
      </c>
      <c r="B20" s="57">
        <f>Sheet1!O28</f>
      </c>
      <c r="C20" s="57">
        <f>Sheet1!P28</f>
      </c>
      <c r="D20" s="59">
        <f>D19</f>
      </c>
      <c r="E20" s="58">
        <f>Sheet1!N49</f>
      </c>
      <c r="F20" s="58">
        <f>Sheet1!O49</f>
      </c>
      <c r="G20" s="58">
        <f>Sheet1!P49</f>
      </c>
      <c r="H20" s="25"/>
      <c r="I20" s="58">
        <f>Sheet1!N70</f>
      </c>
      <c r="J20" s="58">
        <f>Sheet1!O70</f>
      </c>
      <c r="K20" s="58">
        <f>Sheet1!P70</f>
      </c>
    </row>
    <row x14ac:dyDescent="0.25" r="21" customHeight="1" ht="18.75">
      <c r="A21" s="62">
        <v>2</v>
      </c>
      <c r="B21" s="62">
        <v>22994</v>
      </c>
      <c r="C21" s="62">
        <v>0</v>
      </c>
      <c r="D21" s="11" t="s">
        <v>65</v>
      </c>
      <c r="E21" s="56"/>
      <c r="F21" s="56"/>
      <c r="G21" s="56"/>
      <c r="H21" s="25"/>
      <c r="I21" s="56"/>
      <c r="J21" s="56"/>
      <c r="K21" s="56"/>
    </row>
    <row x14ac:dyDescent="0.25" r="22" customHeight="1" ht="18.75">
      <c r="A22" s="63">
        <v>1.764</v>
      </c>
      <c r="B22" s="63">
        <v>22540.644</v>
      </c>
      <c r="C22" s="63">
        <v>453.356</v>
      </c>
      <c r="D22" s="11" t="s">
        <v>65</v>
      </c>
      <c r="E22" s="56"/>
      <c r="F22" s="56"/>
      <c r="G22" s="56"/>
      <c r="H22" s="25"/>
      <c r="I22" s="56"/>
      <c r="J22" s="56"/>
      <c r="K22" s="56"/>
    </row>
    <row x14ac:dyDescent="0.25" r="23" customHeight="1" ht="18.75">
      <c r="A23" s="63">
        <v>1.618</v>
      </c>
      <c r="B23" s="63">
        <v>22260.178</v>
      </c>
      <c r="C23" s="63">
        <v>280.466</v>
      </c>
      <c r="D23" s="11" t="s">
        <v>65</v>
      </c>
      <c r="E23" s="56"/>
      <c r="F23" s="56"/>
      <c r="G23" s="56"/>
      <c r="H23" s="25"/>
      <c r="I23" s="56"/>
      <c r="J23" s="56"/>
      <c r="K23" s="56"/>
    </row>
    <row x14ac:dyDescent="0.25" r="24" customHeight="1" ht="18.75">
      <c r="A24" s="63">
        <v>1.5</v>
      </c>
      <c r="B24" s="63">
        <v>22033.5</v>
      </c>
      <c r="C24" s="63">
        <v>226.678</v>
      </c>
      <c r="D24" s="11" t="s">
        <v>65</v>
      </c>
      <c r="E24" s="56"/>
      <c r="F24" s="56"/>
      <c r="G24" s="56"/>
      <c r="H24" s="25"/>
      <c r="I24" s="56"/>
      <c r="J24" s="56"/>
      <c r="K24" s="56"/>
    </row>
    <row x14ac:dyDescent="0.25" r="25" customHeight="1" ht="18.75">
      <c r="A25" s="63">
        <v>1.382</v>
      </c>
      <c r="B25" s="63">
        <v>21806.822</v>
      </c>
      <c r="C25" s="63">
        <v>226.678</v>
      </c>
      <c r="D25" s="11" t="s">
        <v>65</v>
      </c>
      <c r="E25" s="56"/>
      <c r="F25" s="56"/>
      <c r="G25" s="56"/>
      <c r="H25" s="25"/>
      <c r="I25" s="56"/>
      <c r="J25" s="56"/>
      <c r="K25" s="56"/>
    </row>
    <row x14ac:dyDescent="0.25" r="26" customHeight="1" ht="18.75">
      <c r="A26" s="63">
        <v>1.236</v>
      </c>
      <c r="B26" s="63">
        <v>21526.356</v>
      </c>
      <c r="C26" s="63">
        <v>280.466</v>
      </c>
      <c r="D26" s="11" t="s">
        <v>65</v>
      </c>
      <c r="E26" s="56"/>
      <c r="F26" s="56"/>
      <c r="G26" s="56"/>
      <c r="H26" s="25"/>
      <c r="I26" s="56"/>
      <c r="J26" s="56"/>
      <c r="K26" s="56"/>
    </row>
    <row x14ac:dyDescent="0.25" r="27" customHeight="1" ht="18.75">
      <c r="A27" s="64" t="s">
        <v>26</v>
      </c>
      <c r="B27" s="62">
        <v>21073</v>
      </c>
      <c r="C27" s="63">
        <v>453.356</v>
      </c>
      <c r="D27" s="11" t="s">
        <v>65</v>
      </c>
      <c r="E27" s="56"/>
      <c r="F27" s="56"/>
      <c r="G27" s="56"/>
      <c r="H27" s="25"/>
      <c r="I27" s="56"/>
      <c r="J27" s="56"/>
      <c r="K27" s="56"/>
    </row>
    <row x14ac:dyDescent="0.25" r="28" customHeight="1" ht="18.75">
      <c r="A28" s="63">
        <v>0.236</v>
      </c>
      <c r="B28" s="63">
        <v>20619.644</v>
      </c>
      <c r="C28" s="63">
        <v>453.356</v>
      </c>
      <c r="D28" s="11" t="s">
        <v>65</v>
      </c>
      <c r="E28" s="56"/>
      <c r="F28" s="56"/>
      <c r="G28" s="56"/>
      <c r="H28" s="25"/>
      <c r="I28" s="56"/>
      <c r="J28" s="56"/>
      <c r="K28" s="56"/>
    </row>
    <row x14ac:dyDescent="0.25" r="29" customHeight="1" ht="18.75">
      <c r="A29" s="63">
        <v>0.382</v>
      </c>
      <c r="B29" s="63">
        <v>20339.178</v>
      </c>
      <c r="C29" s="63">
        <v>280.466</v>
      </c>
      <c r="D29" s="11" t="s">
        <v>65</v>
      </c>
      <c r="E29" s="56"/>
      <c r="F29" s="56"/>
      <c r="G29" s="56"/>
      <c r="H29" s="25"/>
      <c r="I29" s="56"/>
      <c r="J29" s="56"/>
      <c r="K29" s="56"/>
    </row>
    <row x14ac:dyDescent="0.25" r="30" customHeight="1" ht="18.75">
      <c r="A30" s="63">
        <v>0.5</v>
      </c>
      <c r="B30" s="63">
        <v>20112.5</v>
      </c>
      <c r="C30" s="63">
        <v>226.678</v>
      </c>
      <c r="D30" s="11" t="s">
        <v>65</v>
      </c>
      <c r="E30" s="56"/>
      <c r="F30" s="56"/>
      <c r="G30" s="56"/>
      <c r="H30" s="25"/>
      <c r="I30" s="56"/>
      <c r="J30" s="56"/>
      <c r="K30" s="56"/>
    </row>
    <row x14ac:dyDescent="0.25" r="31" customHeight="1" ht="18.75">
      <c r="A31" s="63">
        <v>0.618</v>
      </c>
      <c r="B31" s="63">
        <v>19885.822</v>
      </c>
      <c r="C31" s="63">
        <v>226.678</v>
      </c>
      <c r="D31" s="11" t="s">
        <v>65</v>
      </c>
      <c r="E31" s="56"/>
      <c r="F31" s="56"/>
      <c r="G31" s="56"/>
      <c r="H31" s="25"/>
      <c r="I31" s="56"/>
      <c r="J31" s="56"/>
      <c r="K31" s="56"/>
    </row>
    <row x14ac:dyDescent="0.25" r="32" customHeight="1" ht="18.75">
      <c r="A32" s="63">
        <v>0.786</v>
      </c>
      <c r="B32" s="63">
        <v>19563.094</v>
      </c>
      <c r="C32" s="63">
        <v>322.727999999999</v>
      </c>
      <c r="D32" s="11" t="s">
        <v>65</v>
      </c>
      <c r="E32" s="56"/>
      <c r="F32" s="56"/>
      <c r="G32" s="56"/>
      <c r="H32" s="25"/>
      <c r="I32" s="56"/>
      <c r="J32" s="56"/>
      <c r="K32" s="56"/>
    </row>
    <row x14ac:dyDescent="0.25" r="33" customHeight="1" ht="18.75">
      <c r="A33" s="64" t="s">
        <v>27</v>
      </c>
      <c r="B33" s="62">
        <v>19152</v>
      </c>
      <c r="C33" s="63">
        <v>411.094000000001</v>
      </c>
      <c r="D33" s="11" t="s">
        <v>65</v>
      </c>
      <c r="E33" s="56"/>
      <c r="F33" s="56"/>
      <c r="G33" s="56"/>
      <c r="H33" s="25"/>
      <c r="I33" s="56"/>
      <c r="J33" s="56"/>
      <c r="K33" s="56"/>
    </row>
    <row x14ac:dyDescent="0.25" r="34" customHeight="1" ht="18.75">
      <c r="A34" s="63">
        <v>1.236</v>
      </c>
      <c r="B34" s="63">
        <v>18698.644</v>
      </c>
      <c r="C34" s="63">
        <v>453.356</v>
      </c>
      <c r="D34" s="11" t="s">
        <v>65</v>
      </c>
      <c r="E34" s="56"/>
      <c r="F34" s="56"/>
      <c r="G34" s="56"/>
      <c r="H34" s="25"/>
      <c r="I34" s="56"/>
      <c r="J34" s="56"/>
      <c r="K34" s="56"/>
    </row>
    <row x14ac:dyDescent="0.25" r="35" customHeight="1" ht="18.75">
      <c r="A35" s="63">
        <v>1.382</v>
      </c>
      <c r="B35" s="63">
        <v>18418.178</v>
      </c>
      <c r="C35" s="63">
        <v>280.466</v>
      </c>
      <c r="D35" s="11" t="s">
        <v>65</v>
      </c>
      <c r="E35" s="56"/>
      <c r="F35" s="56"/>
      <c r="G35" s="56"/>
      <c r="H35" s="25"/>
      <c r="I35" s="56"/>
      <c r="J35" s="56"/>
      <c r="K35" s="56"/>
    </row>
    <row x14ac:dyDescent="0.25" r="36" customHeight="1" ht="18.75">
      <c r="A36" s="63">
        <v>1.5</v>
      </c>
      <c r="B36" s="63">
        <v>18191.5</v>
      </c>
      <c r="C36" s="63">
        <v>226.678</v>
      </c>
      <c r="D36" s="11" t="s">
        <v>65</v>
      </c>
      <c r="E36" s="56"/>
      <c r="F36" s="56"/>
      <c r="G36" s="56"/>
      <c r="H36" s="25"/>
      <c r="I36" s="56"/>
      <c r="J36" s="56"/>
      <c r="K36" s="56"/>
    </row>
    <row x14ac:dyDescent="0.25" r="37" customHeight="1" ht="18.75">
      <c r="A37" s="63">
        <v>1.618</v>
      </c>
      <c r="B37" s="63">
        <v>17964.822</v>
      </c>
      <c r="C37" s="63">
        <v>226.678</v>
      </c>
      <c r="D37" s="11" t="s">
        <v>65</v>
      </c>
      <c r="E37" s="56"/>
      <c r="F37" s="56"/>
      <c r="G37" s="56"/>
      <c r="H37" s="25"/>
      <c r="I37" s="56"/>
      <c r="J37" s="56"/>
      <c r="K37" s="56"/>
    </row>
    <row x14ac:dyDescent="0.25" r="38" customHeight="1" ht="18.75">
      <c r="A38" s="63">
        <v>1.764</v>
      </c>
      <c r="B38" s="63">
        <v>17684.356</v>
      </c>
      <c r="C38" s="63">
        <v>280.466</v>
      </c>
      <c r="D38" s="11" t="s">
        <v>65</v>
      </c>
      <c r="E38" s="56"/>
      <c r="F38" s="56"/>
      <c r="G38" s="56"/>
      <c r="H38" s="25"/>
      <c r="I38" s="56"/>
      <c r="J38" s="56"/>
      <c r="K38" s="56"/>
    </row>
    <row x14ac:dyDescent="0.25" r="39" customHeight="1" ht="18.75">
      <c r="A39" s="62">
        <v>2</v>
      </c>
      <c r="B39" s="62">
        <v>17231</v>
      </c>
      <c r="C39" s="63">
        <v>453.356</v>
      </c>
      <c r="D39" s="11" t="s">
        <v>65</v>
      </c>
      <c r="E39" s="56"/>
      <c r="F39" s="56"/>
      <c r="G39" s="56"/>
      <c r="H39" s="25"/>
      <c r="I39" s="56"/>
      <c r="J39" s="56"/>
      <c r="K39" s="56"/>
    </row>
    <row x14ac:dyDescent="0.25" r="40" customHeight="1" ht="18.75">
      <c r="A40" s="65">
        <v>2</v>
      </c>
      <c r="B40" s="65">
        <v>25292</v>
      </c>
      <c r="C40" s="65">
        <v>0</v>
      </c>
      <c r="D40" s="11" t="s">
        <v>66</v>
      </c>
      <c r="E40" s="56"/>
      <c r="F40" s="56"/>
      <c r="G40" s="56"/>
      <c r="H40" s="25"/>
      <c r="I40" s="56"/>
      <c r="J40" s="56"/>
      <c r="K40" s="56"/>
    </row>
    <row x14ac:dyDescent="0.25" r="41" customHeight="1" ht="18.75">
      <c r="A41" s="66">
        <v>1.764</v>
      </c>
      <c r="B41" s="66">
        <v>24567.48</v>
      </c>
      <c r="C41" s="66">
        <v>724.52</v>
      </c>
      <c r="D41" s="11" t="s">
        <v>66</v>
      </c>
      <c r="E41" s="56"/>
      <c r="F41" s="56"/>
      <c r="G41" s="56"/>
      <c r="H41" s="25"/>
      <c r="I41" s="56"/>
      <c r="J41" s="56"/>
      <c r="K41" s="56"/>
    </row>
    <row x14ac:dyDescent="0.25" r="42" customHeight="1" ht="18.75">
      <c r="A42" s="66">
        <v>1.618</v>
      </c>
      <c r="B42" s="66">
        <v>24119.26</v>
      </c>
      <c r="C42" s="66">
        <v>448.219999999998</v>
      </c>
      <c r="D42" s="11" t="s">
        <v>66</v>
      </c>
      <c r="E42" s="56"/>
      <c r="F42" s="56"/>
      <c r="G42" s="56"/>
      <c r="H42" s="25"/>
      <c r="I42" s="56"/>
      <c r="J42" s="56"/>
      <c r="K42" s="56"/>
    </row>
    <row x14ac:dyDescent="0.25" r="43" customHeight="1" ht="18.75">
      <c r="A43" s="66">
        <v>1.5</v>
      </c>
      <c r="B43" s="65">
        <v>23757</v>
      </c>
      <c r="C43" s="66">
        <v>362.260000000002</v>
      </c>
      <c r="D43" s="11" t="s">
        <v>66</v>
      </c>
      <c r="E43" s="56"/>
      <c r="F43" s="56"/>
      <c r="G43" s="56"/>
      <c r="H43" s="25"/>
      <c r="I43" s="56"/>
      <c r="J43" s="56"/>
      <c r="K43" s="56"/>
    </row>
    <row x14ac:dyDescent="0.25" r="44" customHeight="1" ht="18.75">
      <c r="A44" s="66">
        <v>1.382</v>
      </c>
      <c r="B44" s="66">
        <v>23394.74</v>
      </c>
      <c r="C44" s="66">
        <v>362.260000000002</v>
      </c>
      <c r="D44" s="11" t="s">
        <v>66</v>
      </c>
      <c r="E44" s="56"/>
      <c r="F44" s="56"/>
      <c r="G44" s="56"/>
      <c r="H44" s="25"/>
      <c r="I44" s="56"/>
      <c r="J44" s="56"/>
      <c r="K44" s="56"/>
    </row>
    <row x14ac:dyDescent="0.25" r="45" customHeight="1" ht="18.75">
      <c r="A45" s="66">
        <v>1.236</v>
      </c>
      <c r="B45" s="66">
        <v>22946.52</v>
      </c>
      <c r="C45" s="66">
        <v>448.219999999998</v>
      </c>
      <c r="D45" s="11" t="s">
        <v>66</v>
      </c>
      <c r="E45" s="56"/>
      <c r="F45" s="56"/>
      <c r="G45" s="56"/>
      <c r="H45" s="25"/>
      <c r="I45" s="56"/>
      <c r="J45" s="56"/>
      <c r="K45" s="56"/>
    </row>
    <row x14ac:dyDescent="0.25" r="46" customHeight="1" ht="18.75">
      <c r="A46" s="67" t="s">
        <v>26</v>
      </c>
      <c r="B46" s="65">
        <v>22222</v>
      </c>
      <c r="C46" s="66">
        <v>724.52</v>
      </c>
      <c r="D46" s="11" t="s">
        <v>66</v>
      </c>
      <c r="E46" s="56"/>
      <c r="F46" s="56"/>
      <c r="G46" s="56"/>
      <c r="H46" s="25"/>
      <c r="I46" s="56"/>
      <c r="J46" s="56"/>
      <c r="K46" s="56"/>
    </row>
    <row x14ac:dyDescent="0.25" r="47" customHeight="1" ht="18.75">
      <c r="A47" s="66">
        <v>0.236</v>
      </c>
      <c r="B47" s="66">
        <v>21497.48</v>
      </c>
      <c r="C47" s="66">
        <v>724.52</v>
      </c>
      <c r="D47" s="11" t="s">
        <v>66</v>
      </c>
      <c r="E47" s="56"/>
      <c r="F47" s="56"/>
      <c r="G47" s="56"/>
      <c r="H47" s="25"/>
      <c r="I47" s="56"/>
      <c r="J47" s="56"/>
      <c r="K47" s="56"/>
    </row>
    <row x14ac:dyDescent="0.25" r="48" customHeight="1" ht="18.75">
      <c r="A48" s="66">
        <v>0.382</v>
      </c>
      <c r="B48" s="66">
        <v>21049.26</v>
      </c>
      <c r="C48" s="66">
        <v>448.220000000001</v>
      </c>
      <c r="D48" s="11" t="s">
        <v>66</v>
      </c>
      <c r="E48" s="56"/>
      <c r="F48" s="56"/>
      <c r="G48" s="56"/>
      <c r="H48" s="25"/>
      <c r="I48" s="56"/>
      <c r="J48" s="56"/>
      <c r="K48" s="56"/>
    </row>
    <row x14ac:dyDescent="0.25" r="49" customHeight="1" ht="18.75">
      <c r="A49" s="66">
        <v>0.5</v>
      </c>
      <c r="B49" s="65">
        <v>20687</v>
      </c>
      <c r="C49" s="66">
        <v>362.259999999998</v>
      </c>
      <c r="D49" s="11" t="s">
        <v>66</v>
      </c>
      <c r="E49" s="56"/>
      <c r="F49" s="56"/>
      <c r="G49" s="56"/>
      <c r="H49" s="25"/>
      <c r="I49" s="56"/>
      <c r="J49" s="56"/>
      <c r="K49" s="56"/>
    </row>
    <row x14ac:dyDescent="0.25" r="50" customHeight="1" ht="18.75">
      <c r="A50" s="66">
        <v>0.618</v>
      </c>
      <c r="B50" s="66">
        <v>20324.74</v>
      </c>
      <c r="C50" s="66">
        <v>362.259999999998</v>
      </c>
      <c r="D50" s="11" t="s">
        <v>66</v>
      </c>
      <c r="E50" s="56"/>
      <c r="F50" s="56"/>
      <c r="G50" s="56"/>
      <c r="H50" s="25"/>
      <c r="I50" s="56"/>
      <c r="J50" s="56"/>
      <c r="K50" s="56"/>
    </row>
    <row x14ac:dyDescent="0.25" r="51" customHeight="1" ht="18.75">
      <c r="A51" s="66">
        <v>0.786</v>
      </c>
      <c r="B51" s="66">
        <v>19808.98</v>
      </c>
      <c r="C51" s="66">
        <v>515.760000000002</v>
      </c>
      <c r="D51" s="11" t="s">
        <v>66</v>
      </c>
      <c r="E51" s="56"/>
      <c r="F51" s="56"/>
      <c r="G51" s="56"/>
      <c r="H51" s="25"/>
      <c r="I51" s="56"/>
      <c r="J51" s="56"/>
      <c r="K51" s="56"/>
    </row>
    <row x14ac:dyDescent="0.25" r="52" customHeight="1" ht="18.75">
      <c r="A52" s="67" t="s">
        <v>27</v>
      </c>
      <c r="B52" s="65">
        <v>19152</v>
      </c>
      <c r="C52" s="66">
        <v>656.98</v>
      </c>
      <c r="D52" s="11" t="s">
        <v>66</v>
      </c>
      <c r="E52" s="56"/>
      <c r="F52" s="56"/>
      <c r="G52" s="56"/>
      <c r="H52" s="25"/>
      <c r="I52" s="56"/>
      <c r="J52" s="56"/>
      <c r="K52" s="56"/>
    </row>
    <row x14ac:dyDescent="0.25" r="53" customHeight="1" ht="18.75">
      <c r="A53" s="66">
        <v>1.236</v>
      </c>
      <c r="B53" s="66">
        <v>18427.48</v>
      </c>
      <c r="C53" s="66">
        <v>724.52</v>
      </c>
      <c r="D53" s="11" t="s">
        <v>66</v>
      </c>
      <c r="E53" s="56"/>
      <c r="F53" s="56"/>
      <c r="G53" s="56"/>
      <c r="H53" s="25"/>
      <c r="I53" s="56"/>
      <c r="J53" s="56"/>
      <c r="K53" s="56"/>
    </row>
    <row x14ac:dyDescent="0.25" r="54" customHeight="1" ht="18.75">
      <c r="A54" s="66">
        <v>1.382</v>
      </c>
      <c r="B54" s="66">
        <v>17979.26</v>
      </c>
      <c r="C54" s="66">
        <v>448.219999999998</v>
      </c>
      <c r="D54" s="11" t="s">
        <v>66</v>
      </c>
      <c r="E54" s="56"/>
      <c r="F54" s="56"/>
      <c r="G54" s="56"/>
      <c r="H54" s="25"/>
      <c r="I54" s="56"/>
      <c r="J54" s="56"/>
      <c r="K54" s="56"/>
    </row>
    <row x14ac:dyDescent="0.25" r="55" customHeight="1" ht="18.75">
      <c r="A55" s="66">
        <v>1.5</v>
      </c>
      <c r="B55" s="65">
        <v>17617</v>
      </c>
      <c r="C55" s="66">
        <v>362.260000000002</v>
      </c>
      <c r="D55" s="11" t="s">
        <v>66</v>
      </c>
      <c r="E55" s="56"/>
      <c r="F55" s="56"/>
      <c r="G55" s="56"/>
      <c r="H55" s="25"/>
      <c r="I55" s="56"/>
      <c r="J55" s="56"/>
      <c r="K55" s="56"/>
    </row>
    <row x14ac:dyDescent="0.25" r="56" customHeight="1" ht="18.75">
      <c r="A56" s="66">
        <v>1.618</v>
      </c>
      <c r="B56" s="66">
        <v>17254.74</v>
      </c>
      <c r="C56" s="66">
        <v>362.260000000002</v>
      </c>
      <c r="D56" s="11" t="s">
        <v>66</v>
      </c>
      <c r="E56" s="56"/>
      <c r="F56" s="56"/>
      <c r="G56" s="56"/>
      <c r="H56" s="25"/>
      <c r="I56" s="56"/>
      <c r="J56" s="56"/>
      <c r="K56" s="56"/>
    </row>
    <row x14ac:dyDescent="0.25" r="57" customHeight="1" ht="18.75">
      <c r="A57" s="66">
        <v>1.764</v>
      </c>
      <c r="B57" s="66">
        <v>16806.52</v>
      </c>
      <c r="C57" s="66">
        <v>448.219999999998</v>
      </c>
      <c r="D57" s="11" t="s">
        <v>66</v>
      </c>
      <c r="E57" s="56"/>
      <c r="F57" s="56"/>
      <c r="G57" s="56"/>
      <c r="H57" s="25"/>
      <c r="I57" s="56"/>
      <c r="J57" s="56"/>
      <c r="K57" s="56"/>
    </row>
    <row x14ac:dyDescent="0.25" r="58" customHeight="1" ht="18.75">
      <c r="A58" s="65">
        <v>2</v>
      </c>
      <c r="B58" s="65">
        <v>16082</v>
      </c>
      <c r="C58" s="66">
        <v>724.52</v>
      </c>
      <c r="D58" s="11" t="s">
        <v>66</v>
      </c>
      <c r="E58" s="56"/>
      <c r="F58" s="56"/>
      <c r="G58" s="56"/>
      <c r="H58" s="25"/>
      <c r="I58" s="56"/>
      <c r="J58" s="56"/>
      <c r="K58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/>
  </sheetViews>
  <sheetFormatPr defaultRowHeight="15" x14ac:dyDescent="0.25"/>
  <cols>
    <col min="1" max="1" style="52" width="13.576428571428572" customWidth="1" bestFit="1"/>
    <col min="2" max="2" style="53" width="13.576428571428572" customWidth="1" bestFit="1"/>
    <col min="3" max="3" style="26" width="38.14785714285715" customWidth="1" bestFit="1"/>
    <col min="4" max="4" style="26" width="45.005" customWidth="1" bestFit="1"/>
    <col min="5" max="5" style="30" width="40.86214285714286" customWidth="1" bestFit="1"/>
    <col min="6" max="6" style="30" width="74.43357142857143" customWidth="1" bestFit="1"/>
    <col min="7" max="7" style="30" width="32.29071428571429" customWidth="1" bestFit="1"/>
  </cols>
  <sheetData>
    <row x14ac:dyDescent="0.25" r="1" customHeight="1" ht="18.75">
      <c r="A1" s="47" t="s">
        <v>24</v>
      </c>
      <c r="B1" s="48" t="s">
        <v>25</v>
      </c>
      <c r="C1" s="49" t="s">
        <v>26</v>
      </c>
      <c r="D1" s="49" t="s">
        <v>27</v>
      </c>
      <c r="E1" s="48" t="s">
        <v>28</v>
      </c>
      <c r="F1" s="48"/>
      <c r="G1" s="25"/>
    </row>
    <row x14ac:dyDescent="0.25" r="2" customHeight="1" ht="18.75">
      <c r="A2" s="47">
        <v>2009</v>
      </c>
      <c r="B2" s="48" t="s">
        <v>29</v>
      </c>
      <c r="C2" s="49" t="s">
        <v>30</v>
      </c>
      <c r="D2" s="49" t="s">
        <v>31</v>
      </c>
      <c r="E2" s="48" t="s">
        <v>32</v>
      </c>
      <c r="F2" s="48"/>
      <c r="G2" s="25"/>
    </row>
    <row x14ac:dyDescent="0.25" r="3" customHeight="1" ht="18.75">
      <c r="A3" s="47">
        <v>2010</v>
      </c>
      <c r="B3" s="48" t="s">
        <v>29</v>
      </c>
      <c r="C3" s="49" t="s">
        <v>33</v>
      </c>
      <c r="D3" s="49" t="s">
        <v>34</v>
      </c>
      <c r="E3" s="48" t="s">
        <v>35</v>
      </c>
      <c r="F3" s="48"/>
      <c r="G3" s="25"/>
    </row>
    <row x14ac:dyDescent="0.25" r="4" customHeight="1" ht="18.75">
      <c r="A4" s="47">
        <v>2011</v>
      </c>
      <c r="B4" s="48" t="s">
        <v>29</v>
      </c>
      <c r="C4" s="49">
        <v>1.382</v>
      </c>
      <c r="D4" s="49" t="s">
        <v>36</v>
      </c>
      <c r="E4" s="48" t="s">
        <v>37</v>
      </c>
      <c r="F4" s="48"/>
      <c r="G4" s="25"/>
    </row>
    <row x14ac:dyDescent="0.25" r="5" customHeight="1" ht="18.75">
      <c r="A5" s="47">
        <v>2012</v>
      </c>
      <c r="B5" s="48" t="s">
        <v>38</v>
      </c>
      <c r="C5" s="49">
        <v>0.002</v>
      </c>
      <c r="D5" s="49"/>
      <c r="E5" s="48"/>
      <c r="F5" s="48"/>
      <c r="G5" s="25"/>
    </row>
    <row x14ac:dyDescent="0.25" r="6" customHeight="1" ht="18.75">
      <c r="A6" s="47">
        <v>2013</v>
      </c>
      <c r="B6" s="48"/>
      <c r="C6" s="49"/>
      <c r="D6" s="49"/>
      <c r="E6" s="48"/>
      <c r="F6" s="48"/>
      <c r="G6" s="25"/>
    </row>
    <row x14ac:dyDescent="0.25" r="7" customHeight="1" ht="18.75">
      <c r="A7" s="47">
        <v>2014</v>
      </c>
      <c r="B7" s="48"/>
      <c r="C7" s="49"/>
      <c r="D7" s="49"/>
      <c r="E7" s="48"/>
      <c r="F7" s="48"/>
      <c r="G7" s="25"/>
    </row>
    <row x14ac:dyDescent="0.25" r="8" customHeight="1" ht="18.75">
      <c r="A8" s="47">
        <v>2015</v>
      </c>
      <c r="B8" s="48"/>
      <c r="C8" s="49"/>
      <c r="D8" s="49"/>
      <c r="E8" s="48"/>
      <c r="F8" s="48"/>
      <c r="G8" s="25"/>
    </row>
    <row x14ac:dyDescent="0.25" r="9" customHeight="1" ht="18.75">
      <c r="A9" s="47">
        <v>2016</v>
      </c>
      <c r="B9" s="48"/>
      <c r="C9" s="49"/>
      <c r="D9" s="49"/>
      <c r="E9" s="48"/>
      <c r="F9" s="48"/>
      <c r="G9" s="25"/>
    </row>
    <row x14ac:dyDescent="0.25" r="10" customHeight="1" ht="18.75">
      <c r="A10" s="47">
        <v>2017</v>
      </c>
      <c r="B10" s="48" t="s">
        <v>29</v>
      </c>
      <c r="C10" s="49"/>
      <c r="D10" s="49" t="s">
        <v>39</v>
      </c>
      <c r="E10" s="48" t="s">
        <v>39</v>
      </c>
      <c r="F10" s="48" t="s">
        <v>40</v>
      </c>
      <c r="G10" s="11" t="s">
        <v>41</v>
      </c>
    </row>
    <row x14ac:dyDescent="0.25" r="11" customHeight="1" ht="18.75">
      <c r="A11" s="47">
        <f>A10+1</f>
      </c>
      <c r="B11" s="48" t="s">
        <v>42</v>
      </c>
      <c r="C11" s="49" t="s">
        <v>43</v>
      </c>
      <c r="D11" s="49">
        <v>0.236</v>
      </c>
      <c r="E11" s="48" t="s">
        <v>44</v>
      </c>
      <c r="F11" s="48"/>
      <c r="G11" s="25"/>
    </row>
    <row x14ac:dyDescent="0.25" r="12" customHeight="1" ht="18.75">
      <c r="A12" s="47">
        <f>A11+1</f>
      </c>
      <c r="B12" s="48" t="s">
        <v>29</v>
      </c>
      <c r="C12" s="49" t="s">
        <v>45</v>
      </c>
      <c r="D12" s="49" t="s">
        <v>46</v>
      </c>
      <c r="E12" s="48" t="s">
        <v>39</v>
      </c>
      <c r="F12" s="48" t="s">
        <v>40</v>
      </c>
      <c r="G12" s="11" t="s">
        <v>47</v>
      </c>
    </row>
    <row x14ac:dyDescent="0.25" r="13" customHeight="1" ht="18.75">
      <c r="A13" s="47">
        <f>A12+1</f>
      </c>
      <c r="B13" s="48" t="s">
        <v>29</v>
      </c>
      <c r="C13" s="50" t="s">
        <v>48</v>
      </c>
      <c r="D13" s="51">
        <v>-1.236</v>
      </c>
      <c r="E13" s="11" t="s">
        <v>49</v>
      </c>
      <c r="F13" s="11" t="s">
        <v>50</v>
      </c>
      <c r="G13" s="25"/>
    </row>
    <row x14ac:dyDescent="0.25" r="14" customHeight="1" ht="18.75">
      <c r="A14" s="47">
        <f>A13+1</f>
      </c>
      <c r="B14" s="48" t="s">
        <v>29</v>
      </c>
      <c r="C14" s="50" t="s">
        <v>51</v>
      </c>
      <c r="D14" s="49" t="s">
        <v>39</v>
      </c>
      <c r="E14" s="48" t="s">
        <v>39</v>
      </c>
      <c r="F14" s="48" t="s">
        <v>40</v>
      </c>
      <c r="G14" s="11" t="s">
        <v>52</v>
      </c>
    </row>
    <row x14ac:dyDescent="0.25" r="15" customHeight="1" ht="18.75">
      <c r="A15" s="47">
        <f>A14+1</f>
      </c>
      <c r="B15" s="48" t="s">
        <v>42</v>
      </c>
      <c r="C15" s="50" t="s">
        <v>53</v>
      </c>
      <c r="D15" s="50" t="s">
        <v>54</v>
      </c>
      <c r="E15" s="11" t="s">
        <v>55</v>
      </c>
      <c r="F15" s="11" t="s">
        <v>56</v>
      </c>
      <c r="G15" s="25"/>
    </row>
    <row x14ac:dyDescent="0.25" r="16" customHeight="1" ht="18.75">
      <c r="A16" s="47">
        <f>A15+1</f>
      </c>
      <c r="B16" s="48" t="s">
        <v>29</v>
      </c>
      <c r="C16" s="50" t="s">
        <v>57</v>
      </c>
      <c r="D16" s="49" t="s">
        <v>46</v>
      </c>
      <c r="E16" s="25"/>
      <c r="F16" s="48" t="s">
        <v>58</v>
      </c>
      <c r="G16" s="11" t="s">
        <v>59</v>
      </c>
    </row>
    <row x14ac:dyDescent="0.25" r="17" customHeight="1" ht="18.75">
      <c r="A17" s="47">
        <f>A16+1</f>
      </c>
      <c r="B17" s="48" t="s">
        <v>29</v>
      </c>
      <c r="C17" s="50" t="s">
        <v>60</v>
      </c>
      <c r="D17" s="50" t="s">
        <v>61</v>
      </c>
      <c r="E17" s="11" t="s">
        <v>62</v>
      </c>
      <c r="F17" s="25"/>
      <c r="G17" s="11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94"/>
  <sheetViews>
    <sheetView workbookViewId="0"/>
  </sheetViews>
  <sheetFormatPr defaultRowHeight="15" x14ac:dyDescent="0.25"/>
  <cols>
    <col min="1" max="1" style="29" width="11.43357142857143" customWidth="1" bestFit="1"/>
    <col min="2" max="2" style="45" width="13.576428571428572" customWidth="1" bestFit="1"/>
    <col min="3" max="3" style="45" width="13.576428571428572" customWidth="1" bestFit="1"/>
    <col min="4" max="4" style="45" width="13.576428571428572" customWidth="1" bestFit="1"/>
    <col min="5" max="5" style="45" width="13.576428571428572" customWidth="1" bestFit="1"/>
    <col min="6" max="6" style="28" width="17.576428571428572" customWidth="1" bestFit="1"/>
    <col min="7" max="7" style="46" width="23.14785714285714" customWidth="1" bestFit="1"/>
    <col min="8" max="8" style="46" width="23.14785714285714" customWidth="1" bestFit="1"/>
    <col min="9" max="9" style="46" width="15.719285714285713" customWidth="1" bestFit="1"/>
    <col min="10" max="10" style="46" width="13.576428571428572" customWidth="1" bestFit="1"/>
    <col min="11" max="11" style="28" width="10.005" customWidth="1" bestFit="1"/>
  </cols>
  <sheetData>
    <row x14ac:dyDescent="0.25" r="1" customHeight="1" ht="18.75">
      <c r="A1" s="39" t="s">
        <v>12</v>
      </c>
      <c r="B1" s="40" t="s">
        <v>13</v>
      </c>
      <c r="C1" s="40" t="s">
        <v>14</v>
      </c>
      <c r="D1" s="40" t="s">
        <v>15</v>
      </c>
      <c r="E1" s="40" t="s">
        <v>16</v>
      </c>
      <c r="F1" s="39" t="s">
        <v>17</v>
      </c>
      <c r="G1" s="40" t="s">
        <v>18</v>
      </c>
      <c r="H1" s="40" t="s">
        <v>19</v>
      </c>
      <c r="I1" s="40" t="s">
        <v>20</v>
      </c>
      <c r="J1" s="40" t="s">
        <v>21</v>
      </c>
      <c r="K1" s="39" t="s">
        <v>22</v>
      </c>
    </row>
    <row x14ac:dyDescent="0.25" r="2" customHeight="1" ht="18.75">
      <c r="A2" s="41">
        <v>45733</v>
      </c>
      <c r="B2" s="42">
        <v>5903.26</v>
      </c>
      <c r="C2" s="42">
        <v>6147.43</v>
      </c>
      <c r="D2" s="42">
        <v>5504.65</v>
      </c>
      <c r="E2" s="42">
        <v>5675.12</v>
      </c>
      <c r="F2" s="41">
        <v>42149998592</v>
      </c>
      <c r="G2" s="42">
        <v>1.2729</v>
      </c>
      <c r="H2" s="42">
        <v>71.3092</v>
      </c>
      <c r="I2" s="42">
        <v>-17.7838</v>
      </c>
      <c r="J2" s="42">
        <v>93.7317</v>
      </c>
      <c r="K2" s="42">
        <v>113.7521</v>
      </c>
    </row>
    <row x14ac:dyDescent="0.25" r="3" customHeight="1" ht="18.75">
      <c r="A3" s="41">
        <v>45657</v>
      </c>
      <c r="B3" s="42">
        <v>5757.73</v>
      </c>
      <c r="C3" s="42">
        <v>6099.97</v>
      </c>
      <c r="D3" s="41">
        <v>5674</v>
      </c>
      <c r="E3" s="42">
        <v>5881.63</v>
      </c>
      <c r="F3" s="41">
        <v>48099999744</v>
      </c>
      <c r="G3" s="42">
        <v>1.7819</v>
      </c>
      <c r="H3" s="42">
        <v>75.4954</v>
      </c>
      <c r="I3" s="42">
        <v>-8.3707</v>
      </c>
      <c r="J3" s="42">
        <v>90.5467</v>
      </c>
      <c r="K3" s="42">
        <v>129.6887</v>
      </c>
    </row>
    <row x14ac:dyDescent="0.25" r="4" customHeight="1" ht="18.75">
      <c r="A4" s="41">
        <v>45565</v>
      </c>
      <c r="B4" s="42">
        <v>5471.08</v>
      </c>
      <c r="C4" s="42">
        <v>5767.37</v>
      </c>
      <c r="D4" s="42">
        <v>5119.26</v>
      </c>
      <c r="E4" s="42">
        <v>5762.48</v>
      </c>
      <c r="F4" s="41">
        <v>48440000512</v>
      </c>
      <c r="G4" s="42">
        <v>2.0301</v>
      </c>
      <c r="H4" s="42">
        <v>74.6996</v>
      </c>
      <c r="I4" s="42">
        <v>-0.2149</v>
      </c>
      <c r="J4" s="42">
        <v>85.122</v>
      </c>
      <c r="K4" s="42">
        <v>114.6547</v>
      </c>
    </row>
    <row x14ac:dyDescent="0.25" r="5" customHeight="1" ht="18.75">
      <c r="A5" s="41">
        <v>45471</v>
      </c>
      <c r="B5" s="42">
        <v>5257.97</v>
      </c>
      <c r="C5" s="42">
        <v>5523.64</v>
      </c>
      <c r="D5" s="42">
        <v>4953.56</v>
      </c>
      <c r="E5" s="42">
        <v>5460.48</v>
      </c>
      <c r="F5" s="41">
        <v>45680001024</v>
      </c>
      <c r="G5" s="42">
        <v>2.0616</v>
      </c>
      <c r="H5" s="42">
        <v>72.606</v>
      </c>
      <c r="I5" s="42">
        <v>-3.1082</v>
      </c>
      <c r="J5" s="42">
        <v>79.5163</v>
      </c>
      <c r="K5" s="42">
        <v>85.0953</v>
      </c>
    </row>
    <row x14ac:dyDescent="0.25" r="6" customHeight="1" ht="18.75">
      <c r="A6" s="41">
        <v>45380</v>
      </c>
      <c r="B6" s="42">
        <v>4745.2</v>
      </c>
      <c r="C6" s="42">
        <v>5264.85</v>
      </c>
      <c r="D6" s="42">
        <v>4682.11</v>
      </c>
      <c r="E6" s="42">
        <v>5254.35</v>
      </c>
      <c r="F6" s="41">
        <v>44180000768</v>
      </c>
      <c r="G6" s="42">
        <v>2.1984</v>
      </c>
      <c r="H6" s="42">
        <v>71.0898</v>
      </c>
      <c r="I6" s="42">
        <v>-0.517</v>
      </c>
      <c r="J6" s="42">
        <v>74.5878</v>
      </c>
      <c r="K6" s="42">
        <v>53.8682</v>
      </c>
    </row>
    <row x14ac:dyDescent="0.25" r="7" customHeight="1" ht="18.75">
      <c r="A7" s="41">
        <v>45289</v>
      </c>
      <c r="B7" s="42">
        <v>4284.52</v>
      </c>
      <c r="C7" s="42">
        <v>4793.3</v>
      </c>
      <c r="D7" s="42">
        <v>4103.78</v>
      </c>
      <c r="E7" s="42">
        <v>4769.83</v>
      </c>
      <c r="F7" s="41">
        <v>43050000384</v>
      </c>
      <c r="G7" s="42">
        <v>1.5404</v>
      </c>
      <c r="H7" s="42">
        <v>67.1173</v>
      </c>
      <c r="I7" s="42">
        <v>-2.8408</v>
      </c>
      <c r="J7" s="42">
        <v>71.6784</v>
      </c>
      <c r="K7" s="42">
        <v>13.14</v>
      </c>
    </row>
    <row x14ac:dyDescent="0.25" r="8" customHeight="1" ht="18.75">
      <c r="A8" s="41">
        <v>45198</v>
      </c>
      <c r="B8" s="42">
        <v>4450.48</v>
      </c>
      <c r="C8" s="42">
        <v>4607.07</v>
      </c>
      <c r="D8" s="42">
        <v>4238.63</v>
      </c>
      <c r="E8" s="42">
        <v>4288.05</v>
      </c>
      <c r="F8" s="41">
        <v>39530000384</v>
      </c>
      <c r="G8" s="42">
        <v>0.6126</v>
      </c>
      <c r="H8" s="42">
        <v>62.3391</v>
      </c>
      <c r="I8" s="42">
        <v>-22.3763</v>
      </c>
      <c r="J8" s="42">
        <v>71.3501</v>
      </c>
      <c r="K8" s="42">
        <v>-10.7994</v>
      </c>
    </row>
    <row x14ac:dyDescent="0.25" r="9" customHeight="1" ht="18.75">
      <c r="A9" s="41">
        <v>45107</v>
      </c>
      <c r="B9" s="42">
        <v>4102.2</v>
      </c>
      <c r="C9" s="42">
        <v>4458.48</v>
      </c>
      <c r="D9" s="42">
        <v>4048.28</v>
      </c>
      <c r="E9" s="42">
        <v>4450.38</v>
      </c>
      <c r="F9" s="41">
        <v>42319998976</v>
      </c>
      <c r="G9" s="42">
        <v>0.9773</v>
      </c>
      <c r="H9" s="42">
        <v>65.3082</v>
      </c>
      <c r="I9" s="42">
        <v>-14.0188</v>
      </c>
      <c r="J9" s="42">
        <v>74.6938</v>
      </c>
      <c r="K9" s="42">
        <v>-6.1818</v>
      </c>
    </row>
    <row x14ac:dyDescent="0.25" r="10" customHeight="1" ht="18.75">
      <c r="A10" s="41">
        <v>45016</v>
      </c>
      <c r="B10" s="42">
        <v>3853.29</v>
      </c>
      <c r="C10" s="42">
        <v>4195.44</v>
      </c>
      <c r="D10" s="42">
        <v>3794.33</v>
      </c>
      <c r="E10" s="42">
        <v>4109.31</v>
      </c>
      <c r="F10" s="41">
        <v>44269998080</v>
      </c>
      <c r="G10" s="42">
        <v>0.5343</v>
      </c>
      <c r="H10" s="42">
        <v>61.7543</v>
      </c>
      <c r="I10" s="42">
        <v>-27.0032</v>
      </c>
      <c r="J10" s="42">
        <v>80.3335</v>
      </c>
      <c r="K10" s="42">
        <v>-22.0105</v>
      </c>
    </row>
    <row x14ac:dyDescent="0.25" r="11" customHeight="1" ht="18.75">
      <c r="A11" s="41">
        <v>44925</v>
      </c>
      <c r="B11" s="42">
        <v>3609.78</v>
      </c>
      <c r="C11" s="42">
        <v>4100.96</v>
      </c>
      <c r="D11" s="42">
        <v>3491.58</v>
      </c>
      <c r="E11" s="42">
        <v>3839.5</v>
      </c>
      <c r="F11" s="41">
        <v>43910000640</v>
      </c>
      <c r="G11" s="42">
        <v>0.1956</v>
      </c>
      <c r="H11" s="42">
        <v>58.6421</v>
      </c>
      <c r="I11" s="42">
        <v>-37.2748</v>
      </c>
      <c r="J11" s="42">
        <v>86.2817</v>
      </c>
      <c r="K11" s="42">
        <v>-17.9037</v>
      </c>
    </row>
    <row x14ac:dyDescent="0.25" r="12" customHeight="1" ht="18.75">
      <c r="A12" s="41">
        <v>44834</v>
      </c>
      <c r="B12" s="41">
        <v>3781</v>
      </c>
      <c r="C12" s="42">
        <v>4325.28</v>
      </c>
      <c r="D12" s="42">
        <v>3584.13</v>
      </c>
      <c r="E12" s="42">
        <v>3585.62</v>
      </c>
      <c r="F12" s="41">
        <v>40699998208</v>
      </c>
      <c r="G12" s="42">
        <v>-0.1123</v>
      </c>
      <c r="H12" s="42">
        <v>55.4765</v>
      </c>
      <c r="I12" s="42">
        <v>-46.94</v>
      </c>
      <c r="J12" s="42">
        <v>90.774</v>
      </c>
      <c r="K12" s="42">
        <v>10.3301</v>
      </c>
    </row>
    <row x14ac:dyDescent="0.25" r="13" customHeight="1" ht="18.75">
      <c r="A13" s="41">
        <v>44742</v>
      </c>
      <c r="B13" s="42">
        <v>4540.32</v>
      </c>
      <c r="C13" s="42">
        <v>4593.45</v>
      </c>
      <c r="D13" s="42">
        <v>3636.87</v>
      </c>
      <c r="E13" s="42">
        <v>3785.38</v>
      </c>
      <c r="F13" s="41">
        <v>44459999232</v>
      </c>
      <c r="G13" s="42">
        <v>0.2715</v>
      </c>
      <c r="H13" s="42">
        <v>58.7627</v>
      </c>
      <c r="I13" s="42">
        <v>-39.3352</v>
      </c>
      <c r="J13" s="42">
        <v>93.8089</v>
      </c>
      <c r="K13" s="42">
        <v>73.0091</v>
      </c>
    </row>
    <row x14ac:dyDescent="0.25" r="14" customHeight="1" ht="18.75">
      <c r="A14" s="41">
        <v>44651</v>
      </c>
      <c r="B14" s="42">
        <v>4778.14</v>
      </c>
      <c r="C14" s="42">
        <v>4818.62</v>
      </c>
      <c r="D14" s="42">
        <v>4114.65</v>
      </c>
      <c r="E14" s="42">
        <v>4530.41</v>
      </c>
      <c r="F14" s="41">
        <v>45390000128</v>
      </c>
      <c r="G14" s="42">
        <v>1.406</v>
      </c>
      <c r="H14" s="42">
        <v>73.9293</v>
      </c>
      <c r="I14" s="42">
        <v>-10.9721</v>
      </c>
      <c r="J14" s="42">
        <v>92.9404</v>
      </c>
      <c r="K14" s="42">
        <v>139.2505</v>
      </c>
    </row>
    <row x14ac:dyDescent="0.25" r="15" customHeight="1" ht="18.75">
      <c r="A15" s="41">
        <v>44561</v>
      </c>
      <c r="B15" s="42">
        <v>4317.16</v>
      </c>
      <c r="C15" s="42">
        <v>4808.93</v>
      </c>
      <c r="D15" s="42">
        <v>4278.94</v>
      </c>
      <c r="E15" s="42">
        <v>4766.18</v>
      </c>
      <c r="F15" s="41">
        <v>37989998592</v>
      </c>
      <c r="G15" s="42">
        <v>2.0134</v>
      </c>
      <c r="H15" s="42">
        <v>79.9965</v>
      </c>
      <c r="I15" s="42">
        <v>-1.6335</v>
      </c>
      <c r="J15" s="42">
        <v>90.5368</v>
      </c>
      <c r="K15" s="42">
        <v>150.3823</v>
      </c>
    </row>
    <row x14ac:dyDescent="0.25" r="16" customHeight="1" ht="18.75">
      <c r="A16" s="41">
        <v>44469</v>
      </c>
      <c r="B16" s="42">
        <v>4300.73</v>
      </c>
      <c r="C16" s="42">
        <v>4545.85</v>
      </c>
      <c r="D16" s="42">
        <v>4233.13</v>
      </c>
      <c r="E16" s="42">
        <v>4307.54</v>
      </c>
      <c r="F16" s="41">
        <v>34380001280</v>
      </c>
      <c r="G16" s="42">
        <v>1.8125</v>
      </c>
      <c r="H16" s="42">
        <v>76.515</v>
      </c>
      <c r="I16" s="42">
        <v>-10.1237</v>
      </c>
      <c r="J16" s="42">
        <v>87.5429</v>
      </c>
      <c r="K16" s="42">
        <v>125.0164</v>
      </c>
    </row>
    <row x14ac:dyDescent="0.25" r="17" customHeight="1" ht="18.75">
      <c r="A17" s="41">
        <v>44377</v>
      </c>
      <c r="B17" s="42">
        <v>3992.78</v>
      </c>
      <c r="C17" s="42">
        <v>4302.43</v>
      </c>
      <c r="D17" s="42">
        <v>3992.78</v>
      </c>
      <c r="E17" s="42">
        <v>4297.5</v>
      </c>
      <c r="F17" s="41">
        <v>37449998336</v>
      </c>
      <c r="G17" s="42">
        <v>2.2331</v>
      </c>
      <c r="H17" s="42">
        <v>76.4317</v>
      </c>
      <c r="I17" s="42">
        <v>-0.2336</v>
      </c>
      <c r="J17" s="42">
        <v>85.419</v>
      </c>
      <c r="K17" s="42">
        <v>114.7922</v>
      </c>
    </row>
    <row x14ac:dyDescent="0.25" r="18" customHeight="1" ht="18.75">
      <c r="A18" s="41">
        <v>44286</v>
      </c>
      <c r="B18" s="42">
        <v>3764.61</v>
      </c>
      <c r="C18" s="42">
        <v>3994.41</v>
      </c>
      <c r="D18" s="42">
        <v>3662.71</v>
      </c>
      <c r="E18" s="42">
        <v>3972.89</v>
      </c>
      <c r="F18" s="41">
        <v>42639998976</v>
      </c>
      <c r="G18" s="42">
        <v>2.2755</v>
      </c>
      <c r="H18" s="42">
        <v>73.6198</v>
      </c>
      <c r="I18" s="42">
        <v>-1.1939</v>
      </c>
      <c r="J18" s="42">
        <v>84.0126</v>
      </c>
      <c r="K18" s="42">
        <v>84.3598</v>
      </c>
    </row>
    <row x14ac:dyDescent="0.25" r="19" customHeight="1" ht="18.75">
      <c r="A19" s="41">
        <v>44196</v>
      </c>
      <c r="B19" s="42">
        <v>3385.87</v>
      </c>
      <c r="C19" s="42">
        <v>3760.2</v>
      </c>
      <c r="D19" s="42">
        <v>3233.94</v>
      </c>
      <c r="E19" s="42">
        <v>3756.07</v>
      </c>
      <c r="F19" s="41">
        <v>40320000000</v>
      </c>
      <c r="G19" s="42">
        <v>2.4547</v>
      </c>
      <c r="H19" s="42">
        <v>71.5118</v>
      </c>
      <c r="I19" s="42">
        <v>-0.2633</v>
      </c>
      <c r="J19" s="42">
        <v>85.2411</v>
      </c>
      <c r="K19" s="42">
        <v>56.678</v>
      </c>
    </row>
    <row x14ac:dyDescent="0.25" r="20" customHeight="1" ht="18.75">
      <c r="A20" s="41">
        <v>44104</v>
      </c>
      <c r="B20" s="42">
        <v>3105.92</v>
      </c>
      <c r="C20" s="42">
        <v>3588.11</v>
      </c>
      <c r="D20" s="42">
        <v>3101.17</v>
      </c>
      <c r="E20" s="41">
        <v>3363</v>
      </c>
      <c r="F20" s="41">
        <v>39950000128</v>
      </c>
      <c r="G20" s="42">
        <v>1.9912</v>
      </c>
      <c r="H20" s="42">
        <v>67.084</v>
      </c>
      <c r="I20" s="42">
        <v>-16.1225</v>
      </c>
      <c r="J20" s="42">
        <v>86.4388</v>
      </c>
      <c r="K20" s="42">
        <v>25.0314</v>
      </c>
    </row>
    <row x14ac:dyDescent="0.25" r="21" customHeight="1" ht="18.75">
      <c r="A21" s="41">
        <v>44012</v>
      </c>
      <c r="B21" s="42">
        <v>2498.08</v>
      </c>
      <c r="C21" s="42">
        <v>3233.13</v>
      </c>
      <c r="D21" s="42">
        <v>2447.49</v>
      </c>
      <c r="E21" s="42">
        <v>3100.29</v>
      </c>
      <c r="F21" s="41">
        <v>49940000768</v>
      </c>
      <c r="G21" s="42">
        <v>1.4092</v>
      </c>
      <c r="H21" s="42">
        <v>63.5699</v>
      </c>
      <c r="I21" s="42">
        <v>-24.4021</v>
      </c>
      <c r="J21" s="42">
        <v>87.4774</v>
      </c>
      <c r="K21" s="42">
        <v>7.8576</v>
      </c>
    </row>
    <row x14ac:dyDescent="0.25" r="22" customHeight="1" ht="18.75">
      <c r="A22" s="41">
        <v>43921</v>
      </c>
      <c r="B22" s="42">
        <v>3244.67</v>
      </c>
      <c r="C22" s="42">
        <v>3393.52</v>
      </c>
      <c r="D22" s="42">
        <v>2191.86</v>
      </c>
      <c r="E22" s="42">
        <v>2584.59</v>
      </c>
      <c r="F22" s="41">
        <v>50730000384</v>
      </c>
      <c r="G22" s="42">
        <v>-0.3755</v>
      </c>
      <c r="H22" s="42">
        <v>54.7677</v>
      </c>
      <c r="I22" s="42">
        <v>-61.7631</v>
      </c>
      <c r="J22" s="42">
        <v>87.4706</v>
      </c>
      <c r="K22" s="42">
        <v>2.0289</v>
      </c>
    </row>
    <row x14ac:dyDescent="0.25" r="23" customHeight="1" ht="18.75">
      <c r="A23" s="41">
        <v>43830</v>
      </c>
      <c r="B23" s="42">
        <v>2983.69</v>
      </c>
      <c r="C23" s="42">
        <v>3247.93</v>
      </c>
      <c r="D23" s="42">
        <v>2855.94</v>
      </c>
      <c r="E23" s="42">
        <v>3230.78</v>
      </c>
      <c r="F23" s="41">
        <v>32719998976</v>
      </c>
      <c r="G23" s="42">
        <v>1.9629</v>
      </c>
      <c r="H23" s="42">
        <v>76.1858</v>
      </c>
      <c r="I23" s="42">
        <v>-1.4609</v>
      </c>
      <c r="J23" s="42">
        <v>87.4092</v>
      </c>
      <c r="K23" s="42">
        <v>40.5758</v>
      </c>
    </row>
    <row x14ac:dyDescent="0.25" r="24" customHeight="1" ht="18.75">
      <c r="A24" s="41">
        <v>43738</v>
      </c>
      <c r="B24" s="42">
        <v>2971.41</v>
      </c>
      <c r="C24" s="42">
        <v>3027.98</v>
      </c>
      <c r="D24" s="42">
        <v>2822.12</v>
      </c>
      <c r="E24" s="42">
        <v>2976.74</v>
      </c>
      <c r="F24" s="41">
        <v>33560000512</v>
      </c>
      <c r="G24" s="42">
        <v>1.4456</v>
      </c>
      <c r="H24" s="42">
        <v>72.2198</v>
      </c>
      <c r="I24" s="42">
        <v>-4.9445</v>
      </c>
      <c r="J24" s="42">
        <v>88.1905</v>
      </c>
      <c r="K24" s="42">
        <v>28.4039</v>
      </c>
    </row>
    <row x14ac:dyDescent="0.25" r="25" customHeight="1" ht="18.75">
      <c r="A25" s="41">
        <v>43644</v>
      </c>
      <c r="B25" s="42">
        <v>2848.63</v>
      </c>
      <c r="C25" s="42">
        <v>2964.15</v>
      </c>
      <c r="D25" s="42">
        <v>2728.81</v>
      </c>
      <c r="E25" s="42">
        <v>2941.76</v>
      </c>
      <c r="F25" s="41">
        <v>34419998720</v>
      </c>
      <c r="G25" s="42">
        <v>1.5272</v>
      </c>
      <c r="H25" s="42">
        <v>71.6154</v>
      </c>
      <c r="I25" s="42">
        <v>-1.9401</v>
      </c>
      <c r="J25" s="42">
        <v>88.9828</v>
      </c>
      <c r="K25" s="42">
        <v>28.1377</v>
      </c>
    </row>
    <row x14ac:dyDescent="0.25" r="26" customHeight="1" ht="18.75">
      <c r="A26" s="41">
        <v>43553</v>
      </c>
      <c r="B26" s="42">
        <v>2476.96</v>
      </c>
      <c r="C26" s="42">
        <v>2860.31</v>
      </c>
      <c r="D26" s="42">
        <v>2443.96</v>
      </c>
      <c r="E26" s="42">
        <v>2834.4</v>
      </c>
      <c r="F26" s="41">
        <v>38250000384</v>
      </c>
      <c r="G26" s="42">
        <v>1.395</v>
      </c>
      <c r="H26" s="42">
        <v>69.7391</v>
      </c>
      <c r="I26" s="42">
        <v>-9.4189</v>
      </c>
      <c r="J26" s="42">
        <v>90.4464</v>
      </c>
      <c r="K26" s="42">
        <v>24.6879</v>
      </c>
    </row>
    <row x14ac:dyDescent="0.25" r="27" customHeight="1" ht="18.75">
      <c r="A27" s="41">
        <v>43465</v>
      </c>
      <c r="B27" s="42">
        <v>2926.29</v>
      </c>
      <c r="C27" s="42">
        <v>2939.86</v>
      </c>
      <c r="D27" s="42">
        <v>2346.58</v>
      </c>
      <c r="E27" s="42">
        <v>2506.85</v>
      </c>
      <c r="F27" s="41">
        <v>44759998464</v>
      </c>
      <c r="G27" s="42">
        <v>0.448</v>
      </c>
      <c r="H27" s="42">
        <v>62.7661</v>
      </c>
      <c r="I27" s="42">
        <v>-38.3849</v>
      </c>
      <c r="J27" s="42">
        <v>93.0688</v>
      </c>
      <c r="K27" s="42">
        <v>23.9192</v>
      </c>
    </row>
    <row x14ac:dyDescent="0.25" r="28" customHeight="1" ht="18.75">
      <c r="A28" s="41">
        <v>43371</v>
      </c>
      <c r="B28" s="42">
        <v>2704.95</v>
      </c>
      <c r="C28" s="42">
        <v>2940.91</v>
      </c>
      <c r="D28" s="42">
        <v>2698.95</v>
      </c>
      <c r="E28" s="42">
        <v>2913.98</v>
      </c>
      <c r="F28" s="41">
        <v>32970000384</v>
      </c>
      <c r="G28" s="42">
        <v>1.9154</v>
      </c>
      <c r="H28" s="42">
        <v>85.507</v>
      </c>
      <c r="I28" s="42">
        <v>-2.3815</v>
      </c>
      <c r="J28" s="42">
        <v>95.3578</v>
      </c>
      <c r="K28" s="42">
        <v>50.0015</v>
      </c>
    </row>
    <row x14ac:dyDescent="0.25" r="29" customHeight="1" ht="18.75">
      <c r="A29" s="41">
        <v>43280</v>
      </c>
      <c r="B29" s="42">
        <v>2633.45</v>
      </c>
      <c r="C29" s="42">
        <v>2791.47</v>
      </c>
      <c r="D29" s="42">
        <v>2553.8</v>
      </c>
      <c r="E29" s="42">
        <v>2718.37</v>
      </c>
      <c r="F29" s="41">
        <v>37919997952</v>
      </c>
      <c r="G29" s="42">
        <v>1.675</v>
      </c>
      <c r="H29" s="42">
        <v>82.7126</v>
      </c>
      <c r="I29" s="42">
        <v>-14.5375</v>
      </c>
      <c r="J29" s="42">
        <v>96.0688</v>
      </c>
      <c r="K29" s="42">
        <v>42.025</v>
      </c>
    </row>
    <row x14ac:dyDescent="0.25" r="30" customHeight="1" ht="18.75">
      <c r="A30" s="41">
        <v>43189</v>
      </c>
      <c r="B30" s="42">
        <v>2683.73</v>
      </c>
      <c r="C30" s="42">
        <v>2872.87</v>
      </c>
      <c r="D30" s="42">
        <v>2532.69</v>
      </c>
      <c r="E30" s="42">
        <v>2640.87</v>
      </c>
      <c r="F30" s="41">
        <v>39829999616</v>
      </c>
      <c r="G30" s="42">
        <v>1.7183</v>
      </c>
      <c r="H30" s="42">
        <v>81.3928</v>
      </c>
      <c r="I30" s="42">
        <v>-21.8297</v>
      </c>
      <c r="J30" s="42">
        <v>96.6292</v>
      </c>
      <c r="K30" s="42">
        <v>41.9283</v>
      </c>
    </row>
    <row x14ac:dyDescent="0.25" r="31" customHeight="1" ht="18.75">
      <c r="A31" s="41">
        <v>43098</v>
      </c>
      <c r="B31" s="42">
        <v>2521.2</v>
      </c>
      <c r="C31" s="42">
        <v>2694.97</v>
      </c>
      <c r="D31" s="42">
        <v>2520.4</v>
      </c>
      <c r="E31" s="42">
        <v>2673.61</v>
      </c>
      <c r="F31" s="41">
        <v>33730000896</v>
      </c>
      <c r="G31" s="42">
        <v>2.2501</v>
      </c>
      <c r="H31" s="42">
        <v>83.9057</v>
      </c>
      <c r="I31" s="42">
        <v>-2.4139</v>
      </c>
      <c r="J31" s="42">
        <v>96.6296</v>
      </c>
      <c r="K31" s="42">
        <v>42.5384</v>
      </c>
    </row>
    <row x14ac:dyDescent="0.25" r="32" customHeight="1" ht="18.75">
      <c r="A32" s="41">
        <v>43007</v>
      </c>
      <c r="B32" s="42">
        <v>2431.39</v>
      </c>
      <c r="C32" s="42">
        <v>2519.44</v>
      </c>
      <c r="D32" s="42">
        <v>2407.7</v>
      </c>
      <c r="E32" s="42">
        <v>2519.36</v>
      </c>
      <c r="F32" s="41">
        <v>32369999872</v>
      </c>
      <c r="G32" s="42">
        <v>2.1699</v>
      </c>
      <c r="H32" s="42">
        <v>81.3924</v>
      </c>
      <c r="I32" s="42">
        <v>-0.0113</v>
      </c>
      <c r="J32" s="42">
        <v>95.4295</v>
      </c>
      <c r="K32" s="42">
        <v>33.1533</v>
      </c>
    </row>
    <row x14ac:dyDescent="0.25" r="33" customHeight="1" ht="18.75">
      <c r="A33" s="41">
        <v>42916</v>
      </c>
      <c r="B33" s="42">
        <v>2362.34</v>
      </c>
      <c r="C33" s="42">
        <v>2453.82</v>
      </c>
      <c r="D33" s="42">
        <v>2328.95</v>
      </c>
      <c r="E33" s="42">
        <v>2423.41</v>
      </c>
      <c r="F33" s="41">
        <v>36289998848</v>
      </c>
      <c r="G33" s="42">
        <v>2.1616</v>
      </c>
      <c r="H33" s="42">
        <v>79.5475</v>
      </c>
      <c r="I33" s="42">
        <v>-4.2478</v>
      </c>
      <c r="J33" s="42">
        <v>94.0898</v>
      </c>
      <c r="K33" s="42">
        <v>27.7999</v>
      </c>
    </row>
    <row x14ac:dyDescent="0.25" r="34" customHeight="1" ht="18.75">
      <c r="A34" s="41">
        <v>42825</v>
      </c>
      <c r="B34" s="42">
        <v>2251.57</v>
      </c>
      <c r="C34" s="42">
        <v>2400.98</v>
      </c>
      <c r="D34" s="42">
        <v>2245.13</v>
      </c>
      <c r="E34" s="42">
        <v>2362.72</v>
      </c>
      <c r="F34" s="41">
        <v>35470000128</v>
      </c>
      <c r="G34" s="42">
        <v>2.3044</v>
      </c>
      <c r="H34" s="42">
        <v>78.2829</v>
      </c>
      <c r="I34" s="42">
        <v>-5.0708</v>
      </c>
      <c r="J34" s="42">
        <v>92.834</v>
      </c>
      <c r="K34" s="42">
        <v>23.5112</v>
      </c>
    </row>
    <row x14ac:dyDescent="0.25" r="35" customHeight="1" ht="18.75">
      <c r="A35" s="41">
        <v>42734</v>
      </c>
      <c r="B35" s="42">
        <v>2164.33</v>
      </c>
      <c r="C35" s="42">
        <v>2277.53</v>
      </c>
      <c r="D35" s="42">
        <v>2083.79</v>
      </c>
      <c r="E35" s="42">
        <v>2238.83</v>
      </c>
      <c r="F35" s="41">
        <v>38200000512</v>
      </c>
      <c r="G35" s="42">
        <v>1.7177</v>
      </c>
      <c r="H35" s="42">
        <v>75.3995</v>
      </c>
      <c r="I35" s="42">
        <v>-5.7507</v>
      </c>
      <c r="J35" s="42">
        <v>91.9083</v>
      </c>
      <c r="K35" s="42">
        <v>17.7908</v>
      </c>
    </row>
    <row x14ac:dyDescent="0.25" r="36" customHeight="1" ht="18.75">
      <c r="A36" s="41">
        <v>42643</v>
      </c>
      <c r="B36" s="42">
        <v>2099.34</v>
      </c>
      <c r="C36" s="42">
        <v>2193.81</v>
      </c>
      <c r="D36" s="42">
        <v>2074.02</v>
      </c>
      <c r="E36" s="42">
        <v>2168.27</v>
      </c>
      <c r="F36" s="41">
        <v>36500000768</v>
      </c>
      <c r="G36" s="42">
        <v>1.3523</v>
      </c>
      <c r="H36" s="42">
        <v>73.5417</v>
      </c>
      <c r="I36" s="42">
        <v>-3.8828</v>
      </c>
      <c r="J36" s="42">
        <v>91.3464</v>
      </c>
      <c r="K36" s="42">
        <v>16.7851</v>
      </c>
    </row>
    <row x14ac:dyDescent="0.25" r="37" customHeight="1" ht="18.75">
      <c r="A37" s="41">
        <v>42551</v>
      </c>
      <c r="B37" s="42">
        <v>2056.62</v>
      </c>
      <c r="C37" s="42">
        <v>2120.55</v>
      </c>
      <c r="D37" s="42">
        <v>1991.68</v>
      </c>
      <c r="E37" s="42">
        <v>2098.86</v>
      </c>
      <c r="F37" s="41">
        <v>41019998208</v>
      </c>
      <c r="G37" s="42">
        <v>1.0583</v>
      </c>
      <c r="H37" s="42">
        <v>71.5814</v>
      </c>
      <c r="I37" s="42">
        <v>-5.0612</v>
      </c>
      <c r="J37" s="42">
        <v>92.2241</v>
      </c>
      <c r="K37" s="42">
        <v>18.0202</v>
      </c>
    </row>
    <row x14ac:dyDescent="0.25" r="38" customHeight="1" ht="18.75">
      <c r="A38" s="41">
        <v>42460</v>
      </c>
      <c r="B38" s="42">
        <v>2038.2</v>
      </c>
      <c r="C38" s="42">
        <v>2072.21</v>
      </c>
      <c r="D38" s="42">
        <v>1810.1</v>
      </c>
      <c r="E38" s="42">
        <v>2059.74</v>
      </c>
      <c r="F38" s="41">
        <v>47539998720</v>
      </c>
      <c r="G38" s="42">
        <v>0.9328</v>
      </c>
      <c r="H38" s="42">
        <v>70.435</v>
      </c>
      <c r="I38" s="42">
        <v>-9.4747</v>
      </c>
      <c r="J38" s="42">
        <v>93.478</v>
      </c>
      <c r="K38" s="42">
        <v>22.6712</v>
      </c>
    </row>
    <row x14ac:dyDescent="0.25" r="39" customHeight="1" ht="18.75">
      <c r="A39" s="41">
        <v>42369</v>
      </c>
      <c r="B39" s="42">
        <v>1919.65</v>
      </c>
      <c r="C39" s="42">
        <v>2116.48</v>
      </c>
      <c r="D39" s="42">
        <v>1893.7</v>
      </c>
      <c r="E39" s="42">
        <v>2043.94</v>
      </c>
      <c r="F39" s="41">
        <v>41119997952</v>
      </c>
      <c r="G39" s="42">
        <v>0.9777</v>
      </c>
      <c r="H39" s="42">
        <v>69.9808</v>
      </c>
      <c r="I39" s="42">
        <v>-11.217</v>
      </c>
      <c r="J39" s="42">
        <v>94.966</v>
      </c>
      <c r="K39" s="42">
        <v>29.3645</v>
      </c>
    </row>
    <row x14ac:dyDescent="0.25" r="40" customHeight="1" ht="18.75">
      <c r="A40" s="41">
        <v>42277</v>
      </c>
      <c r="B40" s="41">
        <v>2067</v>
      </c>
      <c r="C40" s="42">
        <v>2132.82</v>
      </c>
      <c r="D40" s="42">
        <v>1867.01</v>
      </c>
      <c r="E40" s="42">
        <v>1920.03</v>
      </c>
      <c r="F40" s="41">
        <v>42770001920</v>
      </c>
      <c r="G40" s="42">
        <v>0.5916</v>
      </c>
      <c r="H40" s="42">
        <v>66.1997</v>
      </c>
      <c r="I40" s="42">
        <v>-24.7344</v>
      </c>
      <c r="J40" s="42">
        <v>96.2453</v>
      </c>
      <c r="K40" s="42">
        <v>36.4644</v>
      </c>
    </row>
    <row x14ac:dyDescent="0.25" r="41" customHeight="1" ht="18.75">
      <c r="A41" s="41">
        <v>42185</v>
      </c>
      <c r="B41" s="42">
        <v>2067.63</v>
      </c>
      <c r="C41" s="42">
        <v>2134.72</v>
      </c>
      <c r="D41" s="42">
        <v>2048.38</v>
      </c>
      <c r="E41" s="42">
        <v>2063.11</v>
      </c>
      <c r="F41" s="41">
        <v>34329999360</v>
      </c>
      <c r="G41" s="42">
        <v>1.2555</v>
      </c>
      <c r="H41" s="42">
        <v>76.5362</v>
      </c>
      <c r="I41" s="42">
        <v>-8.1759</v>
      </c>
      <c r="J41" s="42">
        <v>97.2375</v>
      </c>
      <c r="K41" s="42">
        <v>54.7336</v>
      </c>
    </row>
    <row x14ac:dyDescent="0.25" r="42" customHeight="1" ht="18.75">
      <c r="A42" s="41">
        <v>42094</v>
      </c>
      <c r="B42" s="42">
        <v>2058.9</v>
      </c>
      <c r="C42" s="42">
        <v>2119.59</v>
      </c>
      <c r="D42" s="42">
        <v>1980.9</v>
      </c>
      <c r="E42" s="42">
        <v>2067.89</v>
      </c>
      <c r="F42" s="41">
        <v>36169998336</v>
      </c>
      <c r="G42" s="42">
        <v>1.4367</v>
      </c>
      <c r="H42" s="42">
        <v>76.9087</v>
      </c>
      <c r="I42" s="42">
        <v>-4.9482</v>
      </c>
      <c r="J42" s="42">
        <v>97.4725</v>
      </c>
      <c r="K42" s="42">
        <v>62.2431</v>
      </c>
    </row>
    <row x14ac:dyDescent="0.25" r="43" customHeight="1" ht="18.75">
      <c r="A43" s="41">
        <v>42004</v>
      </c>
      <c r="B43" s="42">
        <v>1971.44</v>
      </c>
      <c r="C43" s="42">
        <v>2093.55</v>
      </c>
      <c r="D43" s="42">
        <v>1820.66</v>
      </c>
      <c r="E43" s="42">
        <v>2058.9</v>
      </c>
      <c r="F43" s="41">
        <v>36820000768</v>
      </c>
      <c r="G43" s="42">
        <v>1.5834</v>
      </c>
      <c r="H43" s="42">
        <v>76.7108</v>
      </c>
      <c r="I43" s="42">
        <v>-3.4011</v>
      </c>
      <c r="J43" s="42">
        <v>97.2979</v>
      </c>
      <c r="K43" s="42">
        <v>66.2385</v>
      </c>
    </row>
    <row x14ac:dyDescent="0.25" r="44" customHeight="1" ht="18.75">
      <c r="A44" s="41">
        <v>41912</v>
      </c>
      <c r="B44" s="42">
        <v>1962.29</v>
      </c>
      <c r="C44" s="42">
        <v>2019.26</v>
      </c>
      <c r="D44" s="42">
        <v>1904.78</v>
      </c>
      <c r="E44" s="42">
        <v>1972.29</v>
      </c>
      <c r="F44" s="41">
        <v>30809999360</v>
      </c>
      <c r="G44" s="42">
        <v>1.5742</v>
      </c>
      <c r="H44" s="42">
        <v>74.7762</v>
      </c>
      <c r="I44" s="42">
        <v>-4.9731</v>
      </c>
      <c r="J44" s="42">
        <v>96.3483</v>
      </c>
      <c r="K44" s="42">
        <v>65.9213</v>
      </c>
    </row>
    <row x14ac:dyDescent="0.25" r="45" customHeight="1" ht="18.75">
      <c r="A45" s="41">
        <v>41820</v>
      </c>
      <c r="B45" s="42">
        <v>1873.96</v>
      </c>
      <c r="C45" s="42">
        <v>1968.17</v>
      </c>
      <c r="D45" s="42">
        <v>1814.36</v>
      </c>
      <c r="E45" s="42">
        <v>1960.23</v>
      </c>
      <c r="F45" s="41">
        <v>32579999744</v>
      </c>
      <c r="G45" s="42">
        <v>1.8494</v>
      </c>
      <c r="H45" s="42">
        <v>74.5024</v>
      </c>
      <c r="I45" s="42">
        <v>-0.8887</v>
      </c>
      <c r="J45" s="42">
        <v>94.6932</v>
      </c>
      <c r="K45" s="42">
        <v>66.8942</v>
      </c>
    </row>
    <row x14ac:dyDescent="0.25" r="46" customHeight="1" ht="18.75">
      <c r="A46" s="41">
        <v>41729</v>
      </c>
      <c r="B46" s="42">
        <v>1845.86</v>
      </c>
      <c r="C46" s="42">
        <v>1883.97</v>
      </c>
      <c r="D46" s="42">
        <v>1737.92</v>
      </c>
      <c r="E46" s="42">
        <v>1872.34</v>
      </c>
      <c r="F46" s="41">
        <v>34820001792</v>
      </c>
      <c r="G46" s="42">
        <v>1.8998</v>
      </c>
      <c r="H46" s="42">
        <v>72.4805</v>
      </c>
      <c r="I46" s="42">
        <v>-1.4372</v>
      </c>
      <c r="J46" s="42">
        <v>92.7486</v>
      </c>
      <c r="K46" s="42">
        <v>62.4931</v>
      </c>
    </row>
    <row x14ac:dyDescent="0.25" r="47" customHeight="1" ht="18.75">
      <c r="A47" s="41">
        <v>41639</v>
      </c>
      <c r="B47" s="42">
        <v>1682.41</v>
      </c>
      <c r="C47" s="42">
        <v>1849.44</v>
      </c>
      <c r="D47" s="42">
        <v>1646.47</v>
      </c>
      <c r="E47" s="42">
        <v>1848.36</v>
      </c>
      <c r="F47" s="41">
        <v>32810000384</v>
      </c>
      <c r="G47" s="42">
        <v>2.2092</v>
      </c>
      <c r="H47" s="42">
        <v>71.9163</v>
      </c>
      <c r="I47" s="42">
        <v>-0.1288</v>
      </c>
      <c r="J47" s="42">
        <v>89.3839</v>
      </c>
      <c r="K47" s="42">
        <v>57.8504</v>
      </c>
    </row>
    <row x14ac:dyDescent="0.25" r="48" customHeight="1" ht="18.75">
      <c r="A48" s="41">
        <v>41547</v>
      </c>
      <c r="B48" s="42">
        <v>1609.78</v>
      </c>
      <c r="C48" s="42">
        <v>1729.86</v>
      </c>
      <c r="D48" s="42">
        <v>1604.57</v>
      </c>
      <c r="E48" s="42">
        <v>1681.55</v>
      </c>
      <c r="F48" s="41">
        <v>32299999232</v>
      </c>
      <c r="G48" s="42">
        <v>1.8199</v>
      </c>
      <c r="H48" s="42">
        <v>67.6295</v>
      </c>
      <c r="I48" s="42">
        <v>-6.7195</v>
      </c>
      <c r="J48" s="42">
        <v>84.4993</v>
      </c>
      <c r="K48" s="42">
        <v>46.9306</v>
      </c>
    </row>
    <row x14ac:dyDescent="0.25" r="49" customHeight="1" ht="18.75">
      <c r="A49" s="41">
        <v>41453</v>
      </c>
      <c r="B49" s="42">
        <v>1569.18</v>
      </c>
      <c r="C49" s="42">
        <v>1687.18</v>
      </c>
      <c r="D49" s="42">
        <v>1536.03</v>
      </c>
      <c r="E49" s="42">
        <v>1606.28</v>
      </c>
      <c r="F49" s="41">
        <v>37129998336</v>
      </c>
      <c r="G49" s="42">
        <v>1.797</v>
      </c>
      <c r="H49" s="42">
        <v>65.4177</v>
      </c>
      <c r="I49" s="42">
        <v>-11.9627</v>
      </c>
      <c r="J49" s="42">
        <v>79.6788</v>
      </c>
      <c r="K49" s="42">
        <v>41.6621</v>
      </c>
    </row>
    <row x14ac:dyDescent="0.25" r="50" customHeight="1" ht="18.75">
      <c r="A50" s="41">
        <v>41362</v>
      </c>
      <c r="B50" s="42">
        <v>1426.19</v>
      </c>
      <c r="C50" s="42">
        <v>1570.28</v>
      </c>
      <c r="D50" s="42">
        <v>1426.19</v>
      </c>
      <c r="E50" s="42">
        <v>1569.19</v>
      </c>
      <c r="F50" s="41">
        <v>33880000512</v>
      </c>
      <c r="G50" s="42">
        <v>1.9525</v>
      </c>
      <c r="H50" s="42">
        <v>64.3016</v>
      </c>
      <c r="I50" s="42">
        <v>-0.1949</v>
      </c>
      <c r="J50" s="42">
        <v>75.4578</v>
      </c>
      <c r="K50" s="42">
        <v>36.701</v>
      </c>
    </row>
    <row x14ac:dyDescent="0.25" r="51" customHeight="1" ht="18.75">
      <c r="A51" s="41">
        <v>41274</v>
      </c>
      <c r="B51" s="42">
        <v>1440.9</v>
      </c>
      <c r="C51" s="42">
        <v>1470.96</v>
      </c>
      <c r="D51" s="42">
        <v>1343.35</v>
      </c>
      <c r="E51" s="42">
        <v>1426.19</v>
      </c>
      <c r="F51" s="41">
        <v>35000000512</v>
      </c>
      <c r="G51" s="42">
        <v>1.344</v>
      </c>
      <c r="H51" s="42">
        <v>59.6381</v>
      </c>
      <c r="I51" s="42">
        <v>-7.9843</v>
      </c>
      <c r="J51" s="42">
        <v>70.9935</v>
      </c>
      <c r="K51" s="42">
        <v>28.9093</v>
      </c>
    </row>
    <row x14ac:dyDescent="0.25" r="52" customHeight="1" ht="18.75">
      <c r="A52" s="41">
        <v>41180</v>
      </c>
      <c r="B52" s="42">
        <v>1362.33</v>
      </c>
      <c r="C52" s="42">
        <v>1474.51</v>
      </c>
      <c r="D52" s="42">
        <v>1325.41</v>
      </c>
      <c r="E52" s="42">
        <v>1440.67</v>
      </c>
      <c r="F52" s="41">
        <v>35109998592</v>
      </c>
      <c r="G52" s="42">
        <v>1.5577</v>
      </c>
      <c r="H52" s="42">
        <v>60.3798</v>
      </c>
      <c r="I52" s="42">
        <v>-4.8959</v>
      </c>
      <c r="J52" s="42">
        <v>67.4133</v>
      </c>
      <c r="K52" s="42">
        <v>28.1703</v>
      </c>
    </row>
    <row x14ac:dyDescent="0.25" r="53" customHeight="1" ht="18.75">
      <c r="A53" s="41">
        <v>41089</v>
      </c>
      <c r="B53" s="42">
        <v>1408.47</v>
      </c>
      <c r="C53" s="42">
        <v>1422.38</v>
      </c>
      <c r="D53" s="42">
        <v>1266.74</v>
      </c>
      <c r="E53" s="42">
        <v>1362.16</v>
      </c>
      <c r="F53" s="41">
        <v>40969998336</v>
      </c>
      <c r="G53" s="42">
        <v>1.1813</v>
      </c>
      <c r="H53" s="42">
        <v>57.7335</v>
      </c>
      <c r="I53" s="42">
        <v>-7.9699</v>
      </c>
      <c r="J53" s="42">
        <v>65.1068</v>
      </c>
      <c r="K53" s="42">
        <v>22.8161</v>
      </c>
    </row>
    <row x14ac:dyDescent="0.25" r="54" customHeight="1" ht="18.75">
      <c r="A54" s="41">
        <v>40998</v>
      </c>
      <c r="B54" s="42">
        <v>1258.86</v>
      </c>
      <c r="C54" s="42">
        <v>1419.15</v>
      </c>
      <c r="D54" s="42">
        <v>1258.86</v>
      </c>
      <c r="E54" s="42">
        <v>1408.47</v>
      </c>
      <c r="F54" s="41">
        <v>39720001536</v>
      </c>
      <c r="G54" s="42">
        <v>1.6247</v>
      </c>
      <c r="H54" s="42">
        <v>59.9258</v>
      </c>
      <c r="I54" s="42">
        <v>-1.4195</v>
      </c>
      <c r="J54" s="42">
        <v>62.6632</v>
      </c>
      <c r="K54" s="42">
        <v>20.1169</v>
      </c>
    </row>
    <row x14ac:dyDescent="0.25" r="55" customHeight="1" ht="18.75">
      <c r="A55" s="41">
        <v>40907</v>
      </c>
      <c r="B55" s="42">
        <v>1131.21</v>
      </c>
      <c r="C55" s="42">
        <v>1292.66</v>
      </c>
      <c r="D55" s="42">
        <v>1074.77</v>
      </c>
      <c r="E55" s="42">
        <v>1257.61</v>
      </c>
      <c r="F55" s="41">
        <v>47189999616</v>
      </c>
      <c r="G55" s="42">
        <v>0.9393</v>
      </c>
      <c r="H55" s="42">
        <v>54.7252</v>
      </c>
      <c r="I55" s="42">
        <v>-16.0517</v>
      </c>
      <c r="J55" s="42">
        <v>59.4525</v>
      </c>
      <c r="K55" s="42">
        <v>9.2533</v>
      </c>
    </row>
    <row x14ac:dyDescent="0.25" r="56" customHeight="1" ht="18.75">
      <c r="A56" s="41">
        <v>40816</v>
      </c>
      <c r="B56" s="42">
        <v>1320.64</v>
      </c>
      <c r="C56" s="42">
        <v>1356.48</v>
      </c>
      <c r="D56" s="42">
        <v>1101.54</v>
      </c>
      <c r="E56" s="42">
        <v>1131.42</v>
      </c>
      <c r="F56" s="41">
        <v>60729999360</v>
      </c>
      <c r="G56" s="42">
        <v>0.1034</v>
      </c>
      <c r="H56" s="42">
        <v>49.6501</v>
      </c>
      <c r="I56" s="42">
        <v>-39.9276</v>
      </c>
      <c r="J56" s="42">
        <v>56.0229</v>
      </c>
      <c r="K56" s="42">
        <v>6.4212</v>
      </c>
    </row>
    <row x14ac:dyDescent="0.25" r="57" customHeight="1" ht="18.75">
      <c r="A57" s="41">
        <v>40724</v>
      </c>
      <c r="B57" s="42">
        <v>1329.48</v>
      </c>
      <c r="C57" s="42">
        <v>1370.58</v>
      </c>
      <c r="D57" s="42">
        <v>1258.07</v>
      </c>
      <c r="E57" s="42">
        <v>1320.64</v>
      </c>
      <c r="F57" s="41">
        <v>48320000000</v>
      </c>
      <c r="G57" s="42">
        <v>1.1703</v>
      </c>
      <c r="H57" s="42">
        <v>58.8328</v>
      </c>
      <c r="I57" s="42">
        <v>-18.7744</v>
      </c>
      <c r="J57" s="42">
        <v>52.1294</v>
      </c>
      <c r="K57" s="42">
        <v>14.1614</v>
      </c>
    </row>
    <row x14ac:dyDescent="0.25" r="58" customHeight="1" ht="18.75">
      <c r="A58" s="41">
        <v>40633</v>
      </c>
      <c r="B58" s="42">
        <v>1257.62</v>
      </c>
      <c r="C58" s="42">
        <v>1344.07</v>
      </c>
      <c r="D58" s="42">
        <v>1249.05</v>
      </c>
      <c r="E58" s="42">
        <v>1325.83</v>
      </c>
      <c r="F58" s="41">
        <v>51910000640</v>
      </c>
      <c r="G58" s="42">
        <v>1.0363</v>
      </c>
      <c r="H58" s="42">
        <v>59.1112</v>
      </c>
      <c r="I58" s="42">
        <v>-27.5223</v>
      </c>
      <c r="J58" s="42">
        <v>47.6547</v>
      </c>
      <c r="K58" s="42">
        <v>6.031</v>
      </c>
    </row>
    <row x14ac:dyDescent="0.25" r="59" customHeight="1" ht="18.75">
      <c r="A59" s="41">
        <v>40543</v>
      </c>
      <c r="B59" s="42">
        <v>1143.49</v>
      </c>
      <c r="C59" s="42">
        <v>1262.6</v>
      </c>
      <c r="D59" s="42">
        <v>1131.87</v>
      </c>
      <c r="E59" s="42">
        <v>1257.64</v>
      </c>
      <c r="F59" s="41">
        <v>52039999488</v>
      </c>
      <c r="G59" s="42">
        <v>0.5163</v>
      </c>
      <c r="H59" s="42">
        <v>56.6056</v>
      </c>
      <c r="I59" s="42">
        <v>-35.0214</v>
      </c>
      <c r="J59" s="42">
        <v>42.4111</v>
      </c>
      <c r="K59" s="42">
        <v>-7.9514</v>
      </c>
    </row>
    <row x14ac:dyDescent="0.25" r="60" customHeight="1" ht="18.75">
      <c r="A60" s="41">
        <v>40451</v>
      </c>
      <c r="B60" s="42">
        <v>1031.1</v>
      </c>
      <c r="C60" s="42">
        <v>1157.16</v>
      </c>
      <c r="D60" s="42">
        <v>1010.91</v>
      </c>
      <c r="E60" s="42">
        <v>1141.2</v>
      </c>
      <c r="F60" s="41">
        <v>57490001920</v>
      </c>
      <c r="G60" s="42">
        <v>-0.1385</v>
      </c>
      <c r="H60" s="42">
        <v>51.9354</v>
      </c>
      <c r="I60" s="42">
        <v>-47.8269</v>
      </c>
      <c r="J60" s="42">
        <v>37.2972</v>
      </c>
      <c r="K60" s="42">
        <v>-22.6074</v>
      </c>
    </row>
    <row x14ac:dyDescent="0.25" r="61" customHeight="1" ht="18.75">
      <c r="A61" s="41">
        <v>40359</v>
      </c>
      <c r="B61" s="42">
        <v>1171.23</v>
      </c>
      <c r="C61" s="42">
        <v>1219.8</v>
      </c>
      <c r="D61" s="42">
        <v>1028.33</v>
      </c>
      <c r="E61" s="42">
        <v>1030.71</v>
      </c>
      <c r="F61" s="41">
        <v>73559998464</v>
      </c>
      <c r="G61" s="42">
        <v>-0.7057</v>
      </c>
      <c r="H61" s="42">
        <v>46.9</v>
      </c>
      <c r="I61" s="42">
        <v>-59.978</v>
      </c>
      <c r="J61" s="42">
        <v>33.4238</v>
      </c>
      <c r="K61" s="42">
        <v>-32.2285</v>
      </c>
    </row>
    <row x14ac:dyDescent="0.25" r="62" customHeight="1" ht="18.75">
      <c r="A62" s="41">
        <v>40268</v>
      </c>
      <c r="B62" s="42">
        <v>1116.56</v>
      </c>
      <c r="C62" s="42">
        <v>1180.69</v>
      </c>
      <c r="D62" s="42">
        <v>1044.5</v>
      </c>
      <c r="E62" s="42">
        <v>1169.43</v>
      </c>
      <c r="F62" s="41">
        <v>60400001024</v>
      </c>
      <c r="G62" s="42">
        <v>-0.2162</v>
      </c>
      <c r="H62" s="42">
        <v>53.425</v>
      </c>
      <c r="I62" s="42">
        <v>-44.7223</v>
      </c>
      <c r="J62" s="42">
        <v>32.0237</v>
      </c>
      <c r="K62" s="42">
        <v>-33.7002</v>
      </c>
    </row>
    <row x14ac:dyDescent="0.25" r="63" customHeight="1" ht="18.75">
      <c r="A63" s="41">
        <v>40178</v>
      </c>
      <c r="B63" s="42">
        <v>1054.91</v>
      </c>
      <c r="C63" s="42">
        <v>1130.38</v>
      </c>
      <c r="D63" s="42">
        <v>1019.95</v>
      </c>
      <c r="E63" s="42">
        <v>1115.1</v>
      </c>
      <c r="F63" s="41">
        <v>63840002048</v>
      </c>
      <c r="G63" s="42">
        <v>-0.5008</v>
      </c>
      <c r="H63" s="42">
        <v>50.9429</v>
      </c>
      <c r="I63" s="42">
        <v>-50.6972</v>
      </c>
      <c r="J63" s="43"/>
      <c r="K63" s="42">
        <v>-47.5379</v>
      </c>
    </row>
    <row x14ac:dyDescent="0.25" r="64" customHeight="1" ht="18.75">
      <c r="A64" s="41">
        <v>40086</v>
      </c>
      <c r="B64" s="42">
        <v>920.82</v>
      </c>
      <c r="C64" s="42">
        <v>1080.15</v>
      </c>
      <c r="D64" s="42">
        <v>869.32</v>
      </c>
      <c r="E64" s="42">
        <v>1057.08</v>
      </c>
      <c r="F64" s="41">
        <v>69819998208</v>
      </c>
      <c r="G64" s="42">
        <v>-0.8065</v>
      </c>
      <c r="H64" s="42">
        <v>48.2056</v>
      </c>
      <c r="I64" s="42">
        <v>-57.078</v>
      </c>
      <c r="J64" s="43"/>
      <c r="K64" s="42">
        <v>-60.4143</v>
      </c>
    </row>
    <row x14ac:dyDescent="0.25" r="65" customHeight="1" ht="18.75">
      <c r="A65" s="41">
        <v>39994</v>
      </c>
      <c r="B65" s="42">
        <v>793.59</v>
      </c>
      <c r="C65" s="42">
        <v>956.23</v>
      </c>
      <c r="D65" s="42">
        <v>783.32</v>
      </c>
      <c r="E65" s="42">
        <v>919.32</v>
      </c>
      <c r="F65" s="41">
        <v>79109996544</v>
      </c>
      <c r="G65" s="42">
        <v>-1.5178</v>
      </c>
      <c r="H65" s="42">
        <v>40.9402</v>
      </c>
      <c r="I65" s="42">
        <v>-72.2281</v>
      </c>
      <c r="J65" s="43"/>
      <c r="K65" s="42">
        <v>-70.4773</v>
      </c>
    </row>
    <row x14ac:dyDescent="0.25" r="66" customHeight="1" ht="18.75">
      <c r="A66" s="41">
        <v>39903</v>
      </c>
      <c r="B66" s="42">
        <v>902.99</v>
      </c>
      <c r="C66" s="42">
        <v>943.85</v>
      </c>
      <c r="D66" s="42">
        <v>666.79</v>
      </c>
      <c r="E66" s="42">
        <v>797.87</v>
      </c>
      <c r="F66" s="41">
        <v>86980001792</v>
      </c>
      <c r="G66" s="42">
        <v>-2.3844</v>
      </c>
      <c r="H66" s="42">
        <v>33.2783</v>
      </c>
      <c r="I66" s="42">
        <v>-85.5845</v>
      </c>
      <c r="J66" s="43"/>
      <c r="K66" s="42">
        <v>-67.3105</v>
      </c>
    </row>
    <row x14ac:dyDescent="0.25" r="67" customHeight="1" ht="18.75">
      <c r="A67" s="41">
        <v>39813</v>
      </c>
      <c r="B67" s="42">
        <v>1164.17</v>
      </c>
      <c r="C67" s="42">
        <v>1167.03</v>
      </c>
      <c r="D67" s="42">
        <v>741.02</v>
      </c>
      <c r="E67" s="42">
        <v>903.25</v>
      </c>
      <c r="F67" s="41">
        <v>86670000128</v>
      </c>
      <c r="G67" s="42">
        <v>-2.6583</v>
      </c>
      <c r="H67" s="42">
        <v>37.1627</v>
      </c>
      <c r="I67" s="42">
        <v>-80.5729</v>
      </c>
      <c r="J67" s="43"/>
      <c r="K67" s="42">
        <v>-45.2182</v>
      </c>
    </row>
    <row x14ac:dyDescent="0.25" r="68" customHeight="1" ht="18.75">
      <c r="A68" s="41">
        <v>39721</v>
      </c>
      <c r="B68" s="42">
        <v>1276.69</v>
      </c>
      <c r="C68" s="42">
        <v>1313.15</v>
      </c>
      <c r="D68" s="42">
        <v>1106.39</v>
      </c>
      <c r="E68" s="42">
        <v>1166.36</v>
      </c>
      <c r="F68" s="41">
        <v>79700000768</v>
      </c>
      <c r="G68" s="42">
        <v>-1.5035</v>
      </c>
      <c r="H68" s="42">
        <v>50.9512</v>
      </c>
      <c r="I68" s="42">
        <v>-87.2323</v>
      </c>
      <c r="J68" s="43"/>
      <c r="K68" s="42">
        <v>-18.1188</v>
      </c>
    </row>
    <row x14ac:dyDescent="0.25" r="69" customHeight="1" ht="18.75">
      <c r="A69" s="41">
        <v>39629</v>
      </c>
      <c r="B69" s="42">
        <v>1326.41</v>
      </c>
      <c r="C69" s="42">
        <v>1440.24</v>
      </c>
      <c r="D69" s="41">
        <v>1272</v>
      </c>
      <c r="E69" s="41">
        <v>1280</v>
      </c>
      <c r="F69" s="41">
        <v>72749998080</v>
      </c>
      <c r="G69" s="42">
        <v>-0.5</v>
      </c>
      <c r="H69" s="42">
        <v>59.8584</v>
      </c>
      <c r="I69" s="42">
        <v>-67.3024</v>
      </c>
      <c r="J69" s="43"/>
      <c r="K69" s="42">
        <v>-1.5216</v>
      </c>
    </row>
    <row x14ac:dyDescent="0.25" r="70" customHeight="1" ht="18.75">
      <c r="A70" s="41">
        <v>39538</v>
      </c>
      <c r="B70" s="42">
        <v>1467.97</v>
      </c>
      <c r="C70" s="42">
        <v>1471.77</v>
      </c>
      <c r="D70" s="42">
        <v>1256.98</v>
      </c>
      <c r="E70" s="42">
        <v>1322.7</v>
      </c>
      <c r="F70" s="41">
        <v>93350002688</v>
      </c>
      <c r="G70" s="42">
        <v>-0.0655</v>
      </c>
      <c r="H70" s="42">
        <v>63.7467</v>
      </c>
      <c r="I70" s="42">
        <v>-52.1486</v>
      </c>
      <c r="J70" s="43"/>
      <c r="K70" s="42">
        <v>12.0844</v>
      </c>
    </row>
    <row x14ac:dyDescent="0.25" r="71" customHeight="1" ht="18.75">
      <c r="A71" s="41">
        <v>39447</v>
      </c>
      <c r="B71" s="42">
        <v>1527.29</v>
      </c>
      <c r="C71" s="42">
        <v>1576.09</v>
      </c>
      <c r="D71" s="42">
        <v>1406.1</v>
      </c>
      <c r="E71" s="42">
        <v>1468.36</v>
      </c>
      <c r="F71" s="41">
        <v>77269999616</v>
      </c>
      <c r="G71" s="42">
        <v>1.2086</v>
      </c>
      <c r="H71" s="42">
        <v>80.2613</v>
      </c>
      <c r="I71" s="42">
        <v>-20.9034</v>
      </c>
      <c r="J71" s="43"/>
      <c r="K71" s="42">
        <v>26.9978</v>
      </c>
    </row>
    <row x14ac:dyDescent="0.25" r="72" customHeight="1" ht="18.75">
      <c r="A72" s="41">
        <v>39353</v>
      </c>
      <c r="B72" s="42">
        <v>1504.66</v>
      </c>
      <c r="C72" s="42">
        <v>1555.9</v>
      </c>
      <c r="D72" s="42">
        <v>1370.6</v>
      </c>
      <c r="E72" s="42">
        <v>1526.75</v>
      </c>
      <c r="F72" s="41">
        <v>86480003072</v>
      </c>
      <c r="G72" s="42">
        <v>1.857</v>
      </c>
      <c r="H72" s="42">
        <v>88.8271</v>
      </c>
      <c r="I72" s="42">
        <v>-5.8868</v>
      </c>
      <c r="J72" s="43"/>
      <c r="K72" s="42">
        <v>32.3105</v>
      </c>
    </row>
    <row x14ac:dyDescent="0.25" r="73" customHeight="1" ht="18.75">
      <c r="A73" s="41">
        <v>39262</v>
      </c>
      <c r="B73" s="42">
        <v>1420.83</v>
      </c>
      <c r="C73" s="42">
        <v>1540.56</v>
      </c>
      <c r="D73" s="42">
        <v>1416.37</v>
      </c>
      <c r="E73" s="42">
        <v>1503.35</v>
      </c>
      <c r="F73" s="41">
        <v>81439997952</v>
      </c>
      <c r="G73" s="42">
        <v>2.0897</v>
      </c>
      <c r="H73" s="42">
        <v>88.3651</v>
      </c>
      <c r="I73" s="42">
        <v>-7.7547</v>
      </c>
      <c r="J73" s="43"/>
      <c r="K73" s="42">
        <v>30.8452</v>
      </c>
    </row>
    <row x14ac:dyDescent="0.25" r="74" customHeight="1" ht="18.75">
      <c r="A74" s="41">
        <v>39171</v>
      </c>
      <c r="B74" s="42">
        <v>1418.03</v>
      </c>
      <c r="C74" s="42">
        <v>1461.57</v>
      </c>
      <c r="D74" s="42">
        <v>1363.98</v>
      </c>
      <c r="E74" s="42">
        <v>1420.86</v>
      </c>
      <c r="F74" s="41">
        <v>80099999744</v>
      </c>
      <c r="G74" s="42">
        <v>1.8614</v>
      </c>
      <c r="H74" s="42">
        <v>86.5433</v>
      </c>
      <c r="I74" s="42">
        <v>-8.7435</v>
      </c>
      <c r="J74" s="43"/>
      <c r="K74" s="42">
        <v>27.1336</v>
      </c>
    </row>
    <row x14ac:dyDescent="0.25" r="75" customHeight="1" ht="18.75">
      <c r="A75" s="41">
        <v>39080</v>
      </c>
      <c r="B75" s="42">
        <v>1335.82</v>
      </c>
      <c r="C75" s="42">
        <v>1431.81</v>
      </c>
      <c r="D75" s="42">
        <v>1327.1</v>
      </c>
      <c r="E75" s="42">
        <v>1418.3</v>
      </c>
      <c r="F75" s="41">
        <v>76940001280</v>
      </c>
      <c r="G75" s="42">
        <v>2.0674</v>
      </c>
      <c r="H75" s="42">
        <v>86.4823</v>
      </c>
      <c r="I75" s="42">
        <v>-2.8685</v>
      </c>
      <c r="J75" s="43"/>
      <c r="K75" s="42">
        <v>26.2772</v>
      </c>
    </row>
    <row x14ac:dyDescent="0.25" r="76" customHeight="1" ht="18.75">
      <c r="A76" s="41">
        <v>38989</v>
      </c>
      <c r="B76" s="42">
        <v>1270.06</v>
      </c>
      <c r="C76" s="42">
        <v>1340.28</v>
      </c>
      <c r="D76" s="42">
        <v>1224.54</v>
      </c>
      <c r="E76" s="42">
        <v>1335.85</v>
      </c>
      <c r="F76" s="41">
        <v>82600001536</v>
      </c>
      <c r="G76" s="42">
        <v>1.6108</v>
      </c>
      <c r="H76" s="43"/>
      <c r="I76" s="42">
        <v>-0.8996</v>
      </c>
      <c r="J76" s="43"/>
      <c r="K76" s="42">
        <v>22.0081</v>
      </c>
    </row>
    <row x14ac:dyDescent="0.25" r="77" customHeight="1" ht="18.75">
      <c r="A77" s="41">
        <v>38898</v>
      </c>
      <c r="B77" s="42">
        <v>1302.88</v>
      </c>
      <c r="C77" s="42">
        <v>1326.7</v>
      </c>
      <c r="D77" s="42">
        <v>1219.29</v>
      </c>
      <c r="E77" s="42">
        <v>1270.2</v>
      </c>
      <c r="F77" s="39" t="s">
        <v>23</v>
      </c>
      <c r="G77" s="43"/>
      <c r="H77" s="43"/>
      <c r="I77" s="43"/>
      <c r="J77" s="43"/>
      <c r="K77" s="42">
        <v>20.8811</v>
      </c>
    </row>
    <row x14ac:dyDescent="0.25" r="78" customHeight="1" ht="18.75">
      <c r="A78" s="41">
        <v>38807</v>
      </c>
      <c r="B78" s="42">
        <v>1248.29</v>
      </c>
      <c r="C78" s="42">
        <v>1310.88</v>
      </c>
      <c r="D78" s="42">
        <v>1245.74</v>
      </c>
      <c r="E78" s="42">
        <v>1294.83</v>
      </c>
      <c r="F78" s="41">
        <v>95440003072</v>
      </c>
      <c r="G78" s="43"/>
      <c r="H78" s="43"/>
      <c r="I78" s="43"/>
      <c r="J78" s="43"/>
      <c r="K78" s="42">
        <v>23.2308</v>
      </c>
    </row>
    <row x14ac:dyDescent="0.25" r="79" customHeight="1" ht="18.75">
      <c r="A79" s="41">
        <v>38716</v>
      </c>
      <c r="B79" s="42">
        <v>1228.81</v>
      </c>
      <c r="C79" s="42">
        <v>1275.8</v>
      </c>
      <c r="D79" s="42">
        <v>1168.2</v>
      </c>
      <c r="E79" s="42">
        <v>1248.29</v>
      </c>
      <c r="F79" s="41">
        <v>81790001152</v>
      </c>
      <c r="G79" s="43"/>
      <c r="H79" s="43"/>
      <c r="I79" s="43"/>
      <c r="J79" s="43"/>
      <c r="K79" s="42">
        <v>21.8149</v>
      </c>
    </row>
    <row x14ac:dyDescent="0.25" r="80" customHeight="1" ht="18.75">
      <c r="A80" s="41">
        <v>38625</v>
      </c>
      <c r="B80" s="42">
        <v>1191.33</v>
      </c>
      <c r="C80" s="42">
        <v>1245.86</v>
      </c>
      <c r="D80" s="42">
        <v>1183.55</v>
      </c>
      <c r="E80" s="42">
        <v>1228.81</v>
      </c>
      <c r="F80" s="41">
        <v>76330000384</v>
      </c>
      <c r="G80" s="43"/>
      <c r="H80" s="43"/>
      <c r="I80" s="43"/>
      <c r="J80" s="43"/>
      <c r="K80" s="42">
        <v>21.8403</v>
      </c>
    </row>
    <row x14ac:dyDescent="0.25" r="81" customHeight="1" ht="18.75">
      <c r="A81" s="41">
        <v>38533</v>
      </c>
      <c r="B81" s="42">
        <v>1180.59</v>
      </c>
      <c r="C81" s="42">
        <v>1219.59</v>
      </c>
      <c r="D81" s="42">
        <v>1136.15</v>
      </c>
      <c r="E81" s="42">
        <v>1191.33</v>
      </c>
      <c r="F81" s="41">
        <v>80829997056</v>
      </c>
      <c r="G81" s="43"/>
      <c r="H81" s="43"/>
      <c r="I81" s="43"/>
      <c r="J81" s="43"/>
      <c r="K81" s="42">
        <v>21.4872</v>
      </c>
    </row>
    <row x14ac:dyDescent="0.25" r="82" customHeight="1" ht="18.75">
      <c r="A82" s="41">
        <v>38442</v>
      </c>
      <c r="B82" s="42">
        <v>1211.92</v>
      </c>
      <c r="C82" s="42">
        <v>1229.11</v>
      </c>
      <c r="D82" s="42">
        <v>1163.69</v>
      </c>
      <c r="E82" s="42">
        <v>1180.59</v>
      </c>
      <c r="F82" s="41">
        <v>81390002176</v>
      </c>
      <c r="G82" s="43"/>
      <c r="H82" s="43"/>
      <c r="I82" s="43"/>
      <c r="J82" s="43"/>
      <c r="K82" s="42">
        <v>22.472</v>
      </c>
    </row>
    <row x14ac:dyDescent="0.25" r="83" customHeight="1" ht="18.75">
      <c r="A83" s="41">
        <v>38352</v>
      </c>
      <c r="B83" s="42">
        <v>1114.58</v>
      </c>
      <c r="C83" s="42">
        <v>1217.33</v>
      </c>
      <c r="D83" s="42">
        <v>1090.19</v>
      </c>
      <c r="E83" s="42">
        <v>1211.92</v>
      </c>
      <c r="F83" s="41">
        <v>78949998592</v>
      </c>
      <c r="G83" s="43"/>
      <c r="H83" s="43"/>
      <c r="I83" s="43"/>
      <c r="J83" s="43"/>
      <c r="K83" s="42">
        <v>22.8644</v>
      </c>
    </row>
    <row x14ac:dyDescent="0.25" r="84" customHeight="1" ht="18.75">
      <c r="A84" s="41">
        <v>38260</v>
      </c>
      <c r="B84" s="42">
        <v>1140.84</v>
      </c>
      <c r="C84" s="42">
        <v>1140.84</v>
      </c>
      <c r="D84" s="42">
        <v>1060.72</v>
      </c>
      <c r="E84" s="42">
        <v>1114.58</v>
      </c>
      <c r="F84" s="41">
        <v>67229999104</v>
      </c>
      <c r="G84" s="43"/>
      <c r="H84" s="43"/>
      <c r="I84" s="43"/>
      <c r="J84" s="43"/>
      <c r="K84" s="42">
        <v>18.0772</v>
      </c>
    </row>
    <row x14ac:dyDescent="0.25" r="85" customHeight="1" ht="18.75">
      <c r="A85" s="41">
        <v>38168</v>
      </c>
      <c r="B85" s="42">
        <v>1126.21</v>
      </c>
      <c r="C85" s="42">
        <v>1150.57</v>
      </c>
      <c r="D85" s="42">
        <v>1076.32</v>
      </c>
      <c r="E85" s="42">
        <v>1140.84</v>
      </c>
      <c r="F85" s="41">
        <v>68130000896</v>
      </c>
      <c r="G85" s="43"/>
      <c r="H85" s="43"/>
      <c r="I85" s="43"/>
      <c r="J85" s="43"/>
      <c r="K85" s="42">
        <v>18.6106</v>
      </c>
    </row>
    <row x14ac:dyDescent="0.25" r="86" customHeight="1" ht="18.75">
      <c r="A86" s="41">
        <v>38077</v>
      </c>
      <c r="B86" s="42">
        <v>1111.92</v>
      </c>
      <c r="C86" s="42">
        <v>1163.23</v>
      </c>
      <c r="D86" s="42">
        <v>1087.06</v>
      </c>
      <c r="E86" s="42">
        <v>1126.21</v>
      </c>
      <c r="F86" s="41">
        <v>76030001152</v>
      </c>
      <c r="G86" s="43"/>
      <c r="H86" s="43"/>
      <c r="I86" s="43"/>
      <c r="J86" s="43"/>
      <c r="K86" s="42">
        <v>15.0692</v>
      </c>
    </row>
    <row x14ac:dyDescent="0.25" r="87" customHeight="1" ht="18.75">
      <c r="A87" s="41">
        <v>37986</v>
      </c>
      <c r="B87" s="42">
        <v>995.97</v>
      </c>
      <c r="C87" s="42">
        <v>1112.56</v>
      </c>
      <c r="D87" s="42">
        <v>995.97</v>
      </c>
      <c r="E87" s="42">
        <v>1111.92</v>
      </c>
      <c r="F87" s="41">
        <v>71639998464</v>
      </c>
      <c r="G87" s="43"/>
      <c r="H87" s="43"/>
      <c r="I87" s="43"/>
      <c r="J87" s="43"/>
      <c r="K87" s="42">
        <v>9.5537</v>
      </c>
    </row>
    <row x14ac:dyDescent="0.25" r="88" customHeight="1" ht="18.75">
      <c r="A88" s="41">
        <v>37894</v>
      </c>
      <c r="B88" s="42">
        <v>974.5</v>
      </c>
      <c r="C88" s="42">
        <v>1040.29</v>
      </c>
      <c r="D88" s="42">
        <v>960.84</v>
      </c>
      <c r="E88" s="42">
        <v>995.97</v>
      </c>
      <c r="F88" s="41">
        <v>76009996288</v>
      </c>
      <c r="G88" s="43"/>
      <c r="H88" s="43"/>
      <c r="I88" s="43"/>
      <c r="J88" s="43"/>
      <c r="K88" s="42">
        <v>1.3702</v>
      </c>
    </row>
    <row x14ac:dyDescent="0.25" r="89" customHeight="1" ht="18.75">
      <c r="A89" s="41">
        <v>37802</v>
      </c>
      <c r="B89" s="42">
        <v>848.18</v>
      </c>
      <c r="C89" s="42">
        <v>1015.33</v>
      </c>
      <c r="D89" s="42">
        <v>847.85</v>
      </c>
      <c r="E89" s="42">
        <v>974.5</v>
      </c>
      <c r="F89" s="41">
        <v>87520002048</v>
      </c>
      <c r="G89" s="43"/>
      <c r="H89" s="43"/>
      <c r="I89" s="43"/>
      <c r="J89" s="43"/>
      <c r="K89" s="41">
        <v>0</v>
      </c>
    </row>
    <row x14ac:dyDescent="0.25" r="90" customHeight="1" ht="18.75">
      <c r="A90" s="41">
        <v>37711</v>
      </c>
      <c r="B90" s="42">
        <v>879.82</v>
      </c>
      <c r="C90" s="42">
        <v>935.05</v>
      </c>
      <c r="D90" s="42">
        <v>788.9</v>
      </c>
      <c r="E90" s="42">
        <v>848.18</v>
      </c>
      <c r="F90" s="44"/>
      <c r="G90" s="43"/>
      <c r="H90" s="43"/>
      <c r="I90" s="43"/>
      <c r="J90" s="43"/>
      <c r="K90" s="44"/>
    </row>
    <row x14ac:dyDescent="0.25" r="91" customHeight="1" ht="18.75">
      <c r="A91" s="41">
        <v>37621</v>
      </c>
      <c r="B91" s="42">
        <v>815.28</v>
      </c>
      <c r="C91" s="42">
        <v>954.28</v>
      </c>
      <c r="D91" s="42">
        <v>768.63</v>
      </c>
      <c r="E91" s="42">
        <v>879.82</v>
      </c>
      <c r="F91" s="44"/>
      <c r="G91" s="43"/>
      <c r="H91" s="43"/>
      <c r="I91" s="43"/>
      <c r="J91" s="43"/>
      <c r="K91" s="44"/>
    </row>
    <row x14ac:dyDescent="0.25" r="92" customHeight="1" ht="18.75">
      <c r="A92" s="41">
        <v>37529</v>
      </c>
      <c r="B92" s="42">
        <v>989.82</v>
      </c>
      <c r="C92" s="42">
        <v>994.46</v>
      </c>
      <c r="D92" s="42">
        <v>775.68</v>
      </c>
      <c r="E92" s="42">
        <v>815.28</v>
      </c>
      <c r="F92" s="44"/>
      <c r="G92" s="43"/>
      <c r="H92" s="43"/>
      <c r="I92" s="43"/>
      <c r="J92" s="43"/>
      <c r="K92" s="44"/>
    </row>
    <row x14ac:dyDescent="0.25" r="93" customHeight="1" ht="18.75">
      <c r="A93" s="41">
        <v>37435</v>
      </c>
      <c r="B93" s="42">
        <v>1147.39</v>
      </c>
      <c r="C93" s="42">
        <v>1147.84</v>
      </c>
      <c r="D93" s="42">
        <v>952.92</v>
      </c>
      <c r="E93" s="42">
        <v>989.81</v>
      </c>
      <c r="F93" s="44"/>
      <c r="G93" s="43"/>
      <c r="H93" s="43"/>
      <c r="I93" s="43"/>
      <c r="J93" s="43"/>
      <c r="K93" s="44"/>
    </row>
    <row x14ac:dyDescent="0.25" r="94" customHeight="1" ht="18.75">
      <c r="A94" s="41">
        <v>37344</v>
      </c>
      <c r="B94" s="42">
        <v>1148.08</v>
      </c>
      <c r="C94" s="42">
        <v>1176.97</v>
      </c>
      <c r="D94" s="42">
        <v>1074.36</v>
      </c>
      <c r="E94" s="42">
        <v>1147.39</v>
      </c>
      <c r="F94" s="44"/>
      <c r="G94" s="43"/>
      <c r="H94" s="43"/>
      <c r="I94" s="43"/>
      <c r="J94" s="43"/>
      <c r="K94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"/>
  <sheetViews>
    <sheetView workbookViewId="0" tabSelected="1"/>
  </sheetViews>
  <sheetFormatPr defaultRowHeight="15" x14ac:dyDescent="0.25"/>
  <cols>
    <col min="1" max="1" style="37" width="11.005" customWidth="1" bestFit="1"/>
    <col min="2" max="2" style="37" width="11.576428571428572" customWidth="1" bestFit="1"/>
    <col min="3" max="3" style="38" width="11.290714285714287" customWidth="1" bestFit="1"/>
    <col min="4" max="4" style="38" width="30.14785714285714" customWidth="1" bestFit="1"/>
    <col min="5" max="5" style="38" width="33.43357142857143" customWidth="1" bestFit="1"/>
    <col min="6" max="6" style="38" width="33.43357142857143" customWidth="1" bestFit="1"/>
    <col min="7" max="7" style="38" width="33.43357142857143" customWidth="1" bestFit="1"/>
    <col min="8" max="8" style="30" width="13.576428571428572" customWidth="1" bestFit="1"/>
  </cols>
  <sheetData>
    <row x14ac:dyDescent="0.25" r="1" customHeight="1" ht="18.75">
      <c r="A1" s="8" t="s">
        <v>0</v>
      </c>
      <c r="B1" s="8"/>
      <c r="C1" s="10" t="s">
        <v>1</v>
      </c>
      <c r="D1" s="10" t="s">
        <v>9</v>
      </c>
      <c r="E1" s="10" t="s">
        <v>10</v>
      </c>
      <c r="F1" s="10" t="s">
        <v>11</v>
      </c>
      <c r="G1" s="10" t="s">
        <v>5</v>
      </c>
      <c r="H1" s="25"/>
    </row>
    <row x14ac:dyDescent="0.25" r="2" customHeight="1" ht="18.75">
      <c r="A2" s="8" t="s">
        <v>6</v>
      </c>
      <c r="B2" s="8" t="s">
        <v>7</v>
      </c>
      <c r="C2" s="10"/>
      <c r="D2" s="10"/>
      <c r="E2" s="10"/>
      <c r="F2" s="10"/>
      <c r="G2" s="10"/>
      <c r="H2" s="11"/>
    </row>
    <row x14ac:dyDescent="0.25" r="3" customHeight="1" ht="18.75">
      <c r="A3" s="33">
        <v>0</v>
      </c>
      <c r="B3" s="33">
        <f>A3</f>
      </c>
      <c r="C3" s="34"/>
      <c r="D3" s="10"/>
      <c r="E3" s="10"/>
      <c r="F3" s="10"/>
      <c r="G3" s="10"/>
      <c r="H3" s="11"/>
    </row>
    <row x14ac:dyDescent="0.25" r="4" customHeight="1" ht="18.75">
      <c r="A4" s="33"/>
      <c r="B4" s="33">
        <f>A9</f>
      </c>
      <c r="C4" s="34"/>
      <c r="D4" s="10"/>
      <c r="E4" s="10"/>
      <c r="F4" s="10"/>
      <c r="G4" s="10"/>
      <c r="H4" s="11"/>
    </row>
    <row x14ac:dyDescent="0.25" r="5" customHeight="1" ht="18.75">
      <c r="A5" s="33"/>
      <c r="B5" s="33">
        <f>A15</f>
      </c>
      <c r="C5" s="34"/>
      <c r="D5" s="10"/>
      <c r="E5" s="10"/>
      <c r="F5" s="10"/>
      <c r="G5" s="10"/>
      <c r="H5" s="11"/>
    </row>
    <row x14ac:dyDescent="0.25" r="6" customHeight="1" ht="18.75">
      <c r="A6" s="33"/>
      <c r="B6" s="33">
        <f>A21</f>
      </c>
      <c r="C6" s="34"/>
      <c r="D6" s="10"/>
      <c r="E6" s="10"/>
      <c r="F6" s="10"/>
      <c r="G6" s="10"/>
      <c r="H6" s="11"/>
    </row>
    <row x14ac:dyDescent="0.25" r="7" customHeight="1" ht="18.75">
      <c r="A7" s="33"/>
      <c r="B7" s="33">
        <f>A27</f>
      </c>
      <c r="C7" s="34"/>
      <c r="D7" s="10"/>
      <c r="E7" s="10"/>
      <c r="F7" s="10"/>
      <c r="G7" s="10"/>
      <c r="H7" s="11"/>
    </row>
    <row x14ac:dyDescent="0.25" r="8" customHeight="1" ht="18.75">
      <c r="A8" s="33"/>
      <c r="B8" s="33">
        <f>A33</f>
      </c>
      <c r="C8" s="34"/>
      <c r="D8" s="10"/>
      <c r="E8" s="10"/>
      <c r="F8" s="10"/>
      <c r="G8" s="10"/>
      <c r="H8" s="11"/>
    </row>
    <row x14ac:dyDescent="0.25" r="9" customHeight="1" ht="18.75">
      <c r="A9" s="35">
        <v>0.236</v>
      </c>
      <c r="B9" s="35">
        <f>B3</f>
      </c>
      <c r="C9" s="34">
        <v>1</v>
      </c>
      <c r="D9" s="10"/>
      <c r="E9" s="10"/>
      <c r="F9" s="10"/>
      <c r="G9" s="10"/>
      <c r="H9" s="11"/>
    </row>
    <row x14ac:dyDescent="0.25" r="10" customHeight="1" ht="18.75">
      <c r="A10" s="35"/>
      <c r="B10" s="35">
        <f>B4</f>
      </c>
      <c r="C10" s="34"/>
      <c r="D10" s="10"/>
      <c r="E10" s="10"/>
      <c r="F10" s="10"/>
      <c r="G10" s="10"/>
      <c r="H10" s="11"/>
    </row>
    <row x14ac:dyDescent="0.25" r="11" customHeight="1" ht="18.75">
      <c r="A11" s="35"/>
      <c r="B11" s="35">
        <f>B5</f>
      </c>
      <c r="C11" s="34"/>
      <c r="D11" s="10"/>
      <c r="E11" s="10"/>
      <c r="F11" s="10"/>
      <c r="G11" s="10"/>
      <c r="H11" s="11"/>
    </row>
    <row x14ac:dyDescent="0.25" r="12" customHeight="1" ht="18.75">
      <c r="A12" s="35"/>
      <c r="B12" s="35">
        <f>B6</f>
      </c>
      <c r="C12" s="34"/>
      <c r="D12" s="10"/>
      <c r="E12" s="10"/>
      <c r="F12" s="10"/>
      <c r="G12" s="10"/>
      <c r="H12" s="11"/>
    </row>
    <row x14ac:dyDescent="0.25" r="13" customHeight="1" ht="18.75">
      <c r="A13" s="35"/>
      <c r="B13" s="35">
        <f>B7</f>
      </c>
      <c r="C13" s="34"/>
      <c r="D13" s="10"/>
      <c r="E13" s="10"/>
      <c r="F13" s="10"/>
      <c r="G13" s="10"/>
      <c r="H13" s="11"/>
    </row>
    <row x14ac:dyDescent="0.25" r="14" customHeight="1" ht="18.75">
      <c r="A14" s="35"/>
      <c r="B14" s="35">
        <f>B8</f>
      </c>
      <c r="C14" s="34"/>
      <c r="D14" s="10"/>
      <c r="E14" s="10"/>
      <c r="F14" s="10"/>
      <c r="G14" s="10"/>
      <c r="H14" s="11"/>
    </row>
    <row x14ac:dyDescent="0.25" r="15" customHeight="1" ht="18.75">
      <c r="A15" s="35">
        <v>0.382</v>
      </c>
      <c r="B15" s="35">
        <f>B9</f>
      </c>
      <c r="C15" s="34">
        <v>2</v>
      </c>
      <c r="D15" s="10"/>
      <c r="E15" s="10"/>
      <c r="F15" s="10"/>
      <c r="G15" s="10"/>
      <c r="H15" s="11"/>
    </row>
    <row x14ac:dyDescent="0.25" r="16" customHeight="1" ht="18.75">
      <c r="A16" s="35"/>
      <c r="B16" s="35">
        <f>B10</f>
      </c>
      <c r="C16" s="34"/>
      <c r="D16" s="10"/>
      <c r="E16" s="10"/>
      <c r="F16" s="10"/>
      <c r="G16" s="10"/>
      <c r="H16" s="11"/>
    </row>
    <row x14ac:dyDescent="0.25" r="17" customHeight="1" ht="18.75">
      <c r="A17" s="35"/>
      <c r="B17" s="35">
        <f>B11</f>
      </c>
      <c r="C17" s="34"/>
      <c r="D17" s="10"/>
      <c r="E17" s="10"/>
      <c r="F17" s="10"/>
      <c r="G17" s="10"/>
      <c r="H17" s="11"/>
    </row>
    <row x14ac:dyDescent="0.25" r="18" customHeight="1" ht="18.75">
      <c r="A18" s="35"/>
      <c r="B18" s="35">
        <f>B12</f>
      </c>
      <c r="C18" s="34"/>
      <c r="D18" s="10"/>
      <c r="E18" s="10"/>
      <c r="F18" s="10"/>
      <c r="G18" s="10"/>
      <c r="H18" s="11"/>
    </row>
    <row x14ac:dyDescent="0.25" r="19" customHeight="1" ht="18.75">
      <c r="A19" s="35"/>
      <c r="B19" s="35">
        <f>B13</f>
      </c>
      <c r="C19" s="34"/>
      <c r="D19" s="10"/>
      <c r="E19" s="10"/>
      <c r="F19" s="10"/>
      <c r="G19" s="10"/>
      <c r="H19" s="11"/>
    </row>
    <row x14ac:dyDescent="0.25" r="20" customHeight="1" ht="18.75">
      <c r="A20" s="35"/>
      <c r="B20" s="35">
        <f>B14</f>
      </c>
      <c r="C20" s="34"/>
      <c r="D20" s="10"/>
      <c r="E20" s="10"/>
      <c r="F20" s="10"/>
      <c r="G20" s="10"/>
      <c r="H20" s="11"/>
    </row>
    <row x14ac:dyDescent="0.25" r="21" customHeight="1" ht="18.75">
      <c r="A21" s="33">
        <v>0.5</v>
      </c>
      <c r="B21" s="33">
        <f>B15</f>
      </c>
      <c r="C21" s="34"/>
      <c r="D21" s="10"/>
      <c r="E21" s="10"/>
      <c r="F21" s="10"/>
      <c r="G21" s="10"/>
      <c r="H21" s="11"/>
    </row>
    <row x14ac:dyDescent="0.25" r="22" customHeight="1" ht="18.75">
      <c r="A22" s="33"/>
      <c r="B22" s="33">
        <f>B16</f>
      </c>
      <c r="C22" s="34"/>
      <c r="D22" s="10">
        <v>-1</v>
      </c>
      <c r="E22" s="10">
        <v>-1</v>
      </c>
      <c r="F22" s="10"/>
      <c r="G22" s="10"/>
      <c r="H22" s="11"/>
    </row>
    <row x14ac:dyDescent="0.25" r="23" customHeight="1" ht="18.75">
      <c r="A23" s="33"/>
      <c r="B23" s="33">
        <f>B17</f>
      </c>
      <c r="C23" s="34"/>
      <c r="D23" s="10"/>
      <c r="E23" s="10"/>
      <c r="F23" s="10"/>
      <c r="G23" s="10"/>
      <c r="H23" s="11"/>
    </row>
    <row x14ac:dyDescent="0.25" r="24" customHeight="1" ht="18.75">
      <c r="A24" s="33"/>
      <c r="B24" s="33">
        <f>B18</f>
      </c>
      <c r="C24" s="34"/>
      <c r="D24" s="10"/>
      <c r="E24" s="10"/>
      <c r="F24" s="10"/>
      <c r="G24" s="10"/>
      <c r="H24" s="11"/>
    </row>
    <row x14ac:dyDescent="0.25" r="25" customHeight="1" ht="18.75">
      <c r="A25" s="33"/>
      <c r="B25" s="33">
        <f>B19</f>
      </c>
      <c r="C25" s="34"/>
      <c r="D25" s="10"/>
      <c r="E25" s="10"/>
      <c r="F25" s="10"/>
      <c r="G25" s="10"/>
      <c r="H25" s="11"/>
    </row>
    <row x14ac:dyDescent="0.25" r="26" customHeight="1" ht="18.75">
      <c r="A26" s="33"/>
      <c r="B26" s="33">
        <f>B20</f>
      </c>
      <c r="C26" s="34"/>
      <c r="D26" s="10"/>
      <c r="E26" s="10"/>
      <c r="F26" s="10"/>
      <c r="G26" s="10"/>
      <c r="H26" s="11"/>
    </row>
    <row x14ac:dyDescent="0.25" r="27" customHeight="1" ht="18.75">
      <c r="A27" s="35">
        <v>0.618</v>
      </c>
      <c r="B27" s="35">
        <f>B21</f>
      </c>
      <c r="C27" s="34">
        <v>2</v>
      </c>
      <c r="D27" s="10"/>
      <c r="E27" s="10"/>
      <c r="F27" s="10"/>
      <c r="G27" s="10"/>
      <c r="H27" s="11"/>
    </row>
    <row x14ac:dyDescent="0.25" r="28" customHeight="1" ht="18.75">
      <c r="A28" s="35"/>
      <c r="B28" s="35">
        <f>B22</f>
      </c>
      <c r="C28" s="34"/>
      <c r="D28" s="10"/>
      <c r="E28" s="10">
        <v>-1</v>
      </c>
      <c r="F28" s="10"/>
      <c r="G28" s="10"/>
      <c r="H28" s="11"/>
    </row>
    <row x14ac:dyDescent="0.25" r="29" customHeight="1" ht="18.75">
      <c r="A29" s="35"/>
      <c r="B29" s="35">
        <f>B23</f>
      </c>
      <c r="C29" s="34"/>
      <c r="D29" s="10"/>
      <c r="E29" s="10"/>
      <c r="F29" s="10"/>
      <c r="G29" s="10"/>
      <c r="H29" s="11"/>
    </row>
    <row x14ac:dyDescent="0.25" r="30" customHeight="1" ht="18.75">
      <c r="A30" s="35"/>
      <c r="B30" s="35">
        <f>B24</f>
      </c>
      <c r="C30" s="34"/>
      <c r="D30" s="10"/>
      <c r="E30" s="10"/>
      <c r="F30" s="10"/>
      <c r="G30" s="10"/>
      <c r="H30" s="11"/>
    </row>
    <row x14ac:dyDescent="0.25" r="31" customHeight="1" ht="18.75">
      <c r="A31" s="35"/>
      <c r="B31" s="35">
        <f>B25</f>
      </c>
      <c r="C31" s="34"/>
      <c r="D31" s="10"/>
      <c r="E31" s="10"/>
      <c r="F31" s="10"/>
      <c r="G31" s="10"/>
      <c r="H31" s="11"/>
    </row>
    <row x14ac:dyDescent="0.25" r="32" customHeight="1" ht="18.75">
      <c r="A32" s="35"/>
      <c r="B32" s="35">
        <f>B26</f>
      </c>
      <c r="C32" s="34"/>
      <c r="D32" s="10"/>
      <c r="E32" s="10"/>
      <c r="F32" s="10"/>
      <c r="G32" s="10"/>
      <c r="H32" s="11"/>
    </row>
    <row x14ac:dyDescent="0.25" r="33" customHeight="1" ht="18.75">
      <c r="A33" s="35">
        <v>0.764</v>
      </c>
      <c r="B33" s="35">
        <f>B27</f>
      </c>
      <c r="C33" s="34">
        <v>1</v>
      </c>
      <c r="D33" s="10"/>
      <c r="E33" s="10"/>
      <c r="F33" s="10"/>
      <c r="G33" s="10"/>
      <c r="H33" s="11"/>
    </row>
    <row x14ac:dyDescent="0.25" r="34" customHeight="1" ht="18.75">
      <c r="A34" s="8"/>
      <c r="B34" s="35">
        <f>B28</f>
      </c>
      <c r="C34" s="10"/>
      <c r="D34" s="10"/>
      <c r="E34" s="10"/>
      <c r="F34" s="10"/>
      <c r="G34" s="10"/>
      <c r="H34" s="11"/>
    </row>
    <row x14ac:dyDescent="0.25" r="35" customHeight="1" ht="18.75">
      <c r="A35" s="8"/>
      <c r="B35" s="35">
        <f>B29</f>
      </c>
      <c r="C35" s="10"/>
      <c r="D35" s="10"/>
      <c r="E35" s="10"/>
      <c r="F35" s="10"/>
      <c r="G35" s="10"/>
      <c r="H35" s="11"/>
    </row>
    <row x14ac:dyDescent="0.25" r="36" customHeight="1" ht="18.75">
      <c r="A36" s="8"/>
      <c r="B36" s="35">
        <f>B30</f>
      </c>
      <c r="C36" s="10"/>
      <c r="D36" s="10"/>
      <c r="E36" s="10"/>
      <c r="F36" s="10"/>
      <c r="G36" s="10"/>
      <c r="H36" s="11"/>
    </row>
    <row x14ac:dyDescent="0.25" r="37" customHeight="1" ht="18.75">
      <c r="A37" s="8"/>
      <c r="B37" s="35">
        <f>B31</f>
      </c>
      <c r="C37" s="10"/>
      <c r="D37" s="10"/>
      <c r="E37" s="10"/>
      <c r="F37" s="10"/>
      <c r="G37" s="10"/>
      <c r="H37" s="11"/>
    </row>
    <row x14ac:dyDescent="0.25" r="38" customHeight="1" ht="18.75">
      <c r="A38" s="8"/>
      <c r="B38" s="35">
        <f>B32</f>
      </c>
      <c r="C38" s="10"/>
      <c r="D38" s="10"/>
      <c r="E38" s="10"/>
      <c r="F38" s="10"/>
      <c r="G38" s="10"/>
      <c r="H38" s="11"/>
    </row>
    <row x14ac:dyDescent="0.25" r="39" customHeight="1" ht="18.75">
      <c r="A39" s="8"/>
      <c r="B39" s="36">
        <f>B33</f>
      </c>
      <c r="C39" s="10"/>
      <c r="D39" s="10"/>
      <c r="E39" s="10"/>
      <c r="F39" s="10"/>
      <c r="G39" s="10"/>
      <c r="H39" s="11"/>
    </row>
    <row x14ac:dyDescent="0.25" r="40" customHeight="1" ht="18.75">
      <c r="A40" s="8"/>
      <c r="B40" s="36">
        <f>B34</f>
      </c>
      <c r="C40" s="10"/>
      <c r="D40" s="10"/>
      <c r="E40" s="10"/>
      <c r="F40" s="10">
        <v>-2</v>
      </c>
      <c r="G40" s="10"/>
      <c r="H40" s="11"/>
    </row>
    <row x14ac:dyDescent="0.25" r="41" customHeight="1" ht="18.75">
      <c r="A41" s="8"/>
      <c r="B41" s="36">
        <f>B35</f>
      </c>
      <c r="C41" s="10"/>
      <c r="D41" s="10"/>
      <c r="E41" s="10"/>
      <c r="F41" s="10"/>
      <c r="G41" s="10"/>
      <c r="H41" s="11"/>
    </row>
    <row x14ac:dyDescent="0.25" r="42" customHeight="1" ht="18.75">
      <c r="A42" s="8"/>
      <c r="B42" s="36">
        <f>B36</f>
      </c>
      <c r="C42" s="10"/>
      <c r="D42" s="10"/>
      <c r="E42" s="10"/>
      <c r="F42" s="10"/>
      <c r="G42" s="10"/>
      <c r="H42" s="11"/>
    </row>
    <row x14ac:dyDescent="0.25" r="43" customHeight="1" ht="18.75">
      <c r="A43" s="8"/>
      <c r="B43" s="36">
        <f>B37</f>
      </c>
      <c r="C43" s="10"/>
      <c r="D43" s="10"/>
      <c r="E43" s="10"/>
      <c r="F43" s="10"/>
      <c r="G43" s="10">
        <f>-C33</f>
      </c>
      <c r="H43" s="11"/>
    </row>
    <row x14ac:dyDescent="0.25" r="44" customHeight="1" ht="18.75">
      <c r="A44" s="8"/>
      <c r="B44" s="36">
        <f>B38</f>
      </c>
      <c r="C44" s="10"/>
      <c r="D44" s="10"/>
      <c r="E44" s="10"/>
      <c r="F44" s="10"/>
      <c r="G44" s="10"/>
      <c r="H44" s="11"/>
    </row>
    <row x14ac:dyDescent="0.25" r="45" customHeight="1" ht="18.75">
      <c r="A45" s="8"/>
      <c r="B45" s="36">
        <f>B39</f>
      </c>
      <c r="C45" s="10"/>
      <c r="D45" s="10"/>
      <c r="E45" s="10"/>
      <c r="F45" s="10"/>
      <c r="G45" s="10"/>
      <c r="H45" s="11"/>
    </row>
    <row x14ac:dyDescent="0.25" r="46" customHeight="1" ht="18.75">
      <c r="A46" s="8"/>
      <c r="B46" s="8"/>
      <c r="C46" s="10" t="s">
        <v>8</v>
      </c>
      <c r="D46" s="10">
        <f>SUM(D2:D45)</f>
      </c>
      <c r="E46" s="10">
        <f>SUM(E2:E45)</f>
      </c>
      <c r="F46" s="10">
        <f>SUM(F2:F45)</f>
      </c>
      <c r="G46" s="10">
        <f>SUM(G2:G45)</f>
      </c>
      <c r="H46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5"/>
  <sheetViews>
    <sheetView workbookViewId="0"/>
  </sheetViews>
  <sheetFormatPr defaultRowHeight="15" x14ac:dyDescent="0.25"/>
  <cols>
    <col min="1" max="1" style="26" width="13.576428571428572" customWidth="1" bestFit="1"/>
    <col min="2" max="2" style="27" width="11.576428571428572" customWidth="1" bestFit="1"/>
    <col min="3" max="3" style="28" width="11.290714285714287" customWidth="1" bestFit="1"/>
    <col min="4" max="4" style="29" width="19.290714285714284" customWidth="1" bestFit="1"/>
    <col min="5" max="5" style="29" width="18.290714285714284" customWidth="1" bestFit="1"/>
    <col min="6" max="6" style="29" width="16.719285714285714" customWidth="1" bestFit="1"/>
    <col min="7" max="7" style="29" width="15.576428571428572" customWidth="1" bestFit="1"/>
    <col min="8" max="8" style="30" width="13.576428571428572" customWidth="1" bestFit="1"/>
    <col min="9" max="9" style="31" width="13.576428571428572" customWidth="1" bestFit="1"/>
    <col min="10" max="10" style="32" width="13.576428571428572" customWidth="1" bestFit="1"/>
  </cols>
  <sheetData>
    <row x14ac:dyDescent="0.25" r="1" customHeight="1" ht="31.5" customFormat="1" s="1">
      <c r="A1" s="2" t="s">
        <v>0</v>
      </c>
      <c r="B1" s="3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/>
      <c r="I1" s="6"/>
      <c r="J1" s="7"/>
    </row>
    <row x14ac:dyDescent="0.25" r="2" customHeight="1" ht="19.5">
      <c r="A2" s="8" t="s">
        <v>6</v>
      </c>
      <c r="B2" s="9" t="s">
        <v>7</v>
      </c>
      <c r="C2" s="10"/>
      <c r="D2" s="10"/>
      <c r="E2" s="10"/>
      <c r="F2" s="10"/>
      <c r="G2" s="10"/>
      <c r="H2" s="11"/>
      <c r="I2" s="12">
        <v>2.618</v>
      </c>
      <c r="J2" s="13">
        <v>361.8</v>
      </c>
    </row>
    <row x14ac:dyDescent="0.25" r="3" customHeight="1" ht="18.75">
      <c r="A3" s="14">
        <v>2.618</v>
      </c>
      <c r="B3" s="15"/>
      <c r="C3" s="10"/>
      <c r="D3" s="10"/>
      <c r="E3" s="10"/>
      <c r="F3" s="10"/>
      <c r="G3" s="10"/>
      <c r="H3" s="11"/>
      <c r="I3" s="16">
        <v>2</v>
      </c>
      <c r="J3" s="17">
        <v>300</v>
      </c>
    </row>
    <row x14ac:dyDescent="0.25" r="4" customHeight="1" ht="18.75">
      <c r="A4" s="18">
        <v>2</v>
      </c>
      <c r="B4" s="15"/>
      <c r="C4" s="10"/>
      <c r="D4" s="10"/>
      <c r="E4" s="10"/>
      <c r="F4" s="10"/>
      <c r="G4" s="10"/>
      <c r="H4" s="11"/>
      <c r="I4" s="19">
        <v>1.618</v>
      </c>
      <c r="J4" s="20">
        <v>261.8</v>
      </c>
    </row>
    <row x14ac:dyDescent="0.25" r="5" customHeight="1" ht="18.75">
      <c r="A5" s="21">
        <v>1.618</v>
      </c>
      <c r="B5" s="15"/>
      <c r="C5" s="10"/>
      <c r="D5" s="10"/>
      <c r="E5" s="10"/>
      <c r="F5" s="10"/>
      <c r="G5" s="10"/>
      <c r="H5" s="11"/>
      <c r="I5" s="19">
        <v>1.382</v>
      </c>
      <c r="J5" s="20">
        <v>238.2</v>
      </c>
    </row>
    <row x14ac:dyDescent="0.25" r="6" customHeight="1" ht="18.75">
      <c r="A6" s="21">
        <v>1.382</v>
      </c>
      <c r="B6" s="15"/>
      <c r="C6" s="10"/>
      <c r="D6" s="22">
        <v>-1</v>
      </c>
      <c r="E6" s="10"/>
      <c r="F6" s="10"/>
      <c r="G6" s="10"/>
      <c r="H6" s="11"/>
      <c r="I6" s="16">
        <v>1</v>
      </c>
      <c r="J6" s="17">
        <v>200</v>
      </c>
    </row>
    <row x14ac:dyDescent="0.25" r="7" customHeight="1" ht="18.75">
      <c r="A7" s="18">
        <v>1</v>
      </c>
      <c r="B7" s="15"/>
      <c r="C7" s="10"/>
      <c r="D7" s="10"/>
      <c r="E7" s="10"/>
      <c r="F7" s="10"/>
      <c r="G7" s="10"/>
      <c r="H7" s="11"/>
      <c r="I7" s="19">
        <v>0.618</v>
      </c>
      <c r="J7" s="20">
        <v>161.8</v>
      </c>
    </row>
    <row x14ac:dyDescent="0.25" r="8" customHeight="1" ht="18.75">
      <c r="A8" s="21">
        <v>0.618</v>
      </c>
      <c r="B8" s="15"/>
      <c r="C8" s="10"/>
      <c r="D8" s="10"/>
      <c r="E8" s="10"/>
      <c r="F8" s="10"/>
      <c r="G8" s="10"/>
      <c r="H8" s="11"/>
      <c r="I8" s="16">
        <v>0.5</v>
      </c>
      <c r="J8" s="17">
        <v>150</v>
      </c>
    </row>
    <row x14ac:dyDescent="0.25" r="9" customHeight="1" ht="18.75">
      <c r="A9" s="18">
        <v>0.5</v>
      </c>
      <c r="B9" s="15"/>
      <c r="C9" s="10"/>
      <c r="D9" s="10"/>
      <c r="E9" s="10"/>
      <c r="F9" s="10"/>
      <c r="G9" s="10"/>
      <c r="H9" s="11"/>
      <c r="I9" s="19">
        <v>0.382</v>
      </c>
      <c r="J9" s="20">
        <v>138.2</v>
      </c>
    </row>
    <row x14ac:dyDescent="0.25" r="10" customHeight="1" ht="18.75">
      <c r="A10" s="21">
        <v>0.382</v>
      </c>
      <c r="B10" s="15"/>
      <c r="C10" s="10"/>
      <c r="D10" s="10"/>
      <c r="E10" s="10"/>
      <c r="F10" s="10"/>
      <c r="G10" s="10"/>
      <c r="H10" s="11"/>
      <c r="I10" s="19">
        <v>0.236</v>
      </c>
      <c r="J10" s="20">
        <v>123.6</v>
      </c>
    </row>
    <row x14ac:dyDescent="0.25" r="11" customHeight="1" ht="19.5">
      <c r="A11" s="21">
        <v>0.236</v>
      </c>
      <c r="B11" s="15"/>
      <c r="C11" s="10"/>
      <c r="D11" s="10"/>
      <c r="E11" s="22">
        <v>-1</v>
      </c>
      <c r="F11" s="10"/>
      <c r="G11" s="10"/>
      <c r="H11" s="11"/>
      <c r="I11" s="6"/>
      <c r="J11" s="7"/>
    </row>
    <row x14ac:dyDescent="0.25" r="12" customHeight="1" ht="18.75">
      <c r="A12" s="23">
        <v>0</v>
      </c>
      <c r="B12" s="15">
        <f>A12</f>
      </c>
      <c r="C12" s="10"/>
      <c r="D12" s="10"/>
      <c r="E12" s="22">
        <v>-1</v>
      </c>
      <c r="F12" s="10"/>
      <c r="G12" s="10"/>
      <c r="H12" s="11"/>
      <c r="I12" s="6"/>
      <c r="J12" s="7"/>
    </row>
    <row x14ac:dyDescent="0.25" r="13" customHeight="1" ht="18.75">
      <c r="A13" s="23"/>
      <c r="B13" s="15">
        <f>A18</f>
      </c>
      <c r="C13" s="10"/>
      <c r="D13" s="10"/>
      <c r="E13" s="10"/>
      <c r="F13" s="10"/>
      <c r="G13" s="10"/>
      <c r="H13" s="11"/>
      <c r="I13" s="6"/>
      <c r="J13" s="7"/>
    </row>
    <row x14ac:dyDescent="0.25" r="14" customHeight="1" ht="18.75">
      <c r="A14" s="23"/>
      <c r="B14" s="15">
        <f>A24</f>
      </c>
      <c r="C14" s="10"/>
      <c r="D14" s="10"/>
      <c r="E14" s="10"/>
      <c r="F14" s="10"/>
      <c r="G14" s="10"/>
      <c r="H14" s="11"/>
      <c r="I14" s="6"/>
      <c r="J14" s="7"/>
    </row>
    <row x14ac:dyDescent="0.25" r="15" customHeight="1" ht="18.75">
      <c r="A15" s="23"/>
      <c r="B15" s="15">
        <f>A30</f>
      </c>
      <c r="C15" s="10"/>
      <c r="D15" s="10"/>
      <c r="E15" s="10"/>
      <c r="F15" s="10"/>
      <c r="G15" s="10"/>
      <c r="H15" s="11"/>
      <c r="I15" s="6"/>
      <c r="J15" s="7"/>
    </row>
    <row x14ac:dyDescent="0.25" r="16" customHeight="1" ht="18.75">
      <c r="A16" s="23"/>
      <c r="B16" s="15">
        <f>A36</f>
      </c>
      <c r="C16" s="10"/>
      <c r="D16" s="10"/>
      <c r="E16" s="10"/>
      <c r="F16" s="10"/>
      <c r="G16" s="10"/>
      <c r="H16" s="11"/>
      <c r="I16" s="6"/>
      <c r="J16" s="7"/>
    </row>
    <row x14ac:dyDescent="0.25" r="17" customHeight="1" ht="18.75">
      <c r="A17" s="23"/>
      <c r="B17" s="15">
        <f>A42</f>
      </c>
      <c r="C17" s="10"/>
      <c r="D17" s="10"/>
      <c r="E17" s="10"/>
      <c r="F17" s="10"/>
      <c r="G17" s="10"/>
      <c r="H17" s="11"/>
      <c r="I17" s="6"/>
      <c r="J17" s="7"/>
    </row>
    <row x14ac:dyDescent="0.25" r="18" customHeight="1" ht="18.75">
      <c r="A18" s="24">
        <v>0.236</v>
      </c>
      <c r="B18" s="15">
        <f>B12</f>
      </c>
      <c r="C18" s="22">
        <v>1</v>
      </c>
      <c r="D18" s="10"/>
      <c r="E18" s="10"/>
      <c r="F18" s="22">
        <v>-1</v>
      </c>
      <c r="G18" s="10"/>
      <c r="H18" s="11"/>
      <c r="I18" s="6"/>
      <c r="J18" s="7"/>
    </row>
    <row x14ac:dyDescent="0.25" r="19" customHeight="1" ht="18.75">
      <c r="A19" s="24"/>
      <c r="B19" s="15">
        <f>B13</f>
      </c>
      <c r="C19" s="10"/>
      <c r="D19" s="10"/>
      <c r="E19" s="10"/>
      <c r="F19" s="10"/>
      <c r="G19" s="10"/>
      <c r="H19" s="11"/>
      <c r="I19" s="6"/>
      <c r="J19" s="7"/>
    </row>
    <row x14ac:dyDescent="0.25" r="20" customHeight="1" ht="18.75">
      <c r="A20" s="24"/>
      <c r="B20" s="15">
        <f>B14</f>
      </c>
      <c r="C20" s="10"/>
      <c r="D20" s="10"/>
      <c r="E20" s="10"/>
      <c r="F20" s="10"/>
      <c r="G20" s="10"/>
      <c r="H20" s="11"/>
      <c r="I20" s="6"/>
      <c r="J20" s="7"/>
    </row>
    <row x14ac:dyDescent="0.25" r="21" customHeight="1" ht="18.75">
      <c r="A21" s="24"/>
      <c r="B21" s="15">
        <f>B15</f>
      </c>
      <c r="C21" s="10"/>
      <c r="D21" s="10"/>
      <c r="E21" s="10"/>
      <c r="F21" s="10"/>
      <c r="G21" s="10"/>
      <c r="H21" s="11"/>
      <c r="I21" s="6"/>
      <c r="J21" s="7"/>
    </row>
    <row x14ac:dyDescent="0.25" r="22" customHeight="1" ht="18.75">
      <c r="A22" s="24"/>
      <c r="B22" s="15">
        <f>B16</f>
      </c>
      <c r="C22" s="10"/>
      <c r="D22" s="10"/>
      <c r="E22" s="10"/>
      <c r="F22" s="10"/>
      <c r="G22" s="10"/>
      <c r="H22" s="11"/>
      <c r="I22" s="6"/>
      <c r="J22" s="7"/>
    </row>
    <row x14ac:dyDescent="0.25" r="23" customHeight="1" ht="18.75">
      <c r="A23" s="24"/>
      <c r="B23" s="15">
        <f>B17</f>
      </c>
      <c r="C23" s="10"/>
      <c r="D23" s="10"/>
      <c r="E23" s="10"/>
      <c r="F23" s="10"/>
      <c r="G23" s="10"/>
      <c r="H23" s="11"/>
      <c r="I23" s="6"/>
      <c r="J23" s="7"/>
    </row>
    <row x14ac:dyDescent="0.25" r="24" customHeight="1" ht="18.75">
      <c r="A24" s="24">
        <v>0.382</v>
      </c>
      <c r="B24" s="15">
        <f>B18</f>
      </c>
      <c r="C24" s="22">
        <v>2</v>
      </c>
      <c r="D24" s="10"/>
      <c r="E24" s="10"/>
      <c r="F24" s="22">
        <v>-1</v>
      </c>
      <c r="G24" s="10"/>
      <c r="H24" s="11"/>
      <c r="I24" s="6"/>
      <c r="J24" s="7"/>
    </row>
    <row x14ac:dyDescent="0.25" r="25" customHeight="1" ht="18.75">
      <c r="A25" s="24"/>
      <c r="B25" s="15">
        <f>B19</f>
      </c>
      <c r="C25" s="10"/>
      <c r="D25" s="10"/>
      <c r="E25" s="10"/>
      <c r="F25" s="10"/>
      <c r="G25" s="10"/>
      <c r="H25" s="11"/>
      <c r="I25" s="6"/>
      <c r="J25" s="7"/>
    </row>
    <row x14ac:dyDescent="0.25" r="26" customHeight="1" ht="18.75">
      <c r="A26" s="24"/>
      <c r="B26" s="15">
        <f>B20</f>
      </c>
      <c r="C26" s="10"/>
      <c r="D26" s="10"/>
      <c r="E26" s="10"/>
      <c r="F26" s="10"/>
      <c r="G26" s="10"/>
      <c r="H26" s="11"/>
      <c r="I26" s="6"/>
      <c r="J26" s="7"/>
    </row>
    <row x14ac:dyDescent="0.25" r="27" customHeight="1" ht="18.75">
      <c r="A27" s="24"/>
      <c r="B27" s="15">
        <f>B21</f>
      </c>
      <c r="C27" s="10"/>
      <c r="D27" s="10"/>
      <c r="E27" s="10"/>
      <c r="F27" s="10"/>
      <c r="G27" s="10"/>
      <c r="H27" s="11"/>
      <c r="I27" s="6"/>
      <c r="J27" s="7"/>
    </row>
    <row x14ac:dyDescent="0.25" r="28" customHeight="1" ht="18.75">
      <c r="A28" s="24"/>
      <c r="B28" s="15">
        <f>B22</f>
      </c>
      <c r="C28" s="10"/>
      <c r="D28" s="10"/>
      <c r="E28" s="10"/>
      <c r="F28" s="10"/>
      <c r="G28" s="10"/>
      <c r="H28" s="11"/>
      <c r="I28" s="6"/>
      <c r="J28" s="7"/>
    </row>
    <row x14ac:dyDescent="0.25" r="29" customHeight="1" ht="18.75">
      <c r="A29" s="24"/>
      <c r="B29" s="15">
        <f>B23</f>
      </c>
      <c r="C29" s="10"/>
      <c r="D29" s="10"/>
      <c r="E29" s="10"/>
      <c r="F29" s="10"/>
      <c r="G29" s="10"/>
      <c r="H29" s="11"/>
      <c r="I29" s="6"/>
      <c r="J29" s="7"/>
    </row>
    <row x14ac:dyDescent="0.25" r="30" customHeight="1" ht="18.75">
      <c r="A30" s="23">
        <v>0.5</v>
      </c>
      <c r="B30" s="15">
        <f>B24</f>
      </c>
      <c r="C30" s="10"/>
      <c r="D30" s="10"/>
      <c r="E30" s="10"/>
      <c r="F30" s="10"/>
      <c r="G30" s="22">
        <v>-1</v>
      </c>
      <c r="H30" s="11"/>
      <c r="I30" s="6"/>
      <c r="J30" s="7"/>
    </row>
    <row x14ac:dyDescent="0.25" r="31" customHeight="1" ht="18.75">
      <c r="A31" s="23"/>
      <c r="B31" s="15">
        <f>B25</f>
      </c>
      <c r="C31" s="10"/>
      <c r="D31" s="10"/>
      <c r="E31" s="10"/>
      <c r="F31" s="10"/>
      <c r="G31" s="10"/>
      <c r="H31" s="11"/>
      <c r="I31" s="6"/>
      <c r="J31" s="7"/>
    </row>
    <row x14ac:dyDescent="0.25" r="32" customHeight="1" ht="18.75">
      <c r="A32" s="23"/>
      <c r="B32" s="15">
        <f>B26</f>
      </c>
      <c r="C32" s="10"/>
      <c r="D32" s="10"/>
      <c r="E32" s="10"/>
      <c r="F32" s="10"/>
      <c r="G32" s="10"/>
      <c r="H32" s="11"/>
      <c r="I32" s="6"/>
      <c r="J32" s="7"/>
    </row>
    <row x14ac:dyDescent="0.25" r="33" customHeight="1" ht="18.75">
      <c r="A33" s="23"/>
      <c r="B33" s="15">
        <f>B27</f>
      </c>
      <c r="C33" s="10"/>
      <c r="D33" s="10"/>
      <c r="E33" s="10"/>
      <c r="F33" s="10"/>
      <c r="G33" s="10"/>
      <c r="H33" s="11"/>
      <c r="I33" s="6"/>
      <c r="J33" s="7"/>
    </row>
    <row x14ac:dyDescent="0.25" r="34" customHeight="1" ht="18.75">
      <c r="A34" s="23"/>
      <c r="B34" s="15">
        <f>B28</f>
      </c>
      <c r="C34" s="10"/>
      <c r="D34" s="10"/>
      <c r="E34" s="10"/>
      <c r="F34" s="10"/>
      <c r="G34" s="10"/>
      <c r="H34" s="11"/>
      <c r="I34" s="6"/>
      <c r="J34" s="7"/>
    </row>
    <row x14ac:dyDescent="0.25" r="35" customHeight="1" ht="18.75">
      <c r="A35" s="23"/>
      <c r="B35" s="15">
        <f>B29</f>
      </c>
      <c r="C35" s="10"/>
      <c r="D35" s="10"/>
      <c r="E35" s="10"/>
      <c r="F35" s="10"/>
      <c r="G35" s="10"/>
      <c r="H35" s="11"/>
      <c r="I35" s="6"/>
      <c r="J35" s="7"/>
    </row>
    <row x14ac:dyDescent="0.25" r="36" customHeight="1" ht="18.75">
      <c r="A36" s="24">
        <v>0.618</v>
      </c>
      <c r="B36" s="15">
        <f>B30</f>
      </c>
      <c r="C36" s="22">
        <v>2</v>
      </c>
      <c r="D36" s="10"/>
      <c r="E36" s="10"/>
      <c r="F36" s="10"/>
      <c r="G36" s="10"/>
      <c r="H36" s="11"/>
      <c r="I36" s="6"/>
      <c r="J36" s="7"/>
    </row>
    <row x14ac:dyDescent="0.25" r="37" customHeight="1" ht="18.75">
      <c r="A37" s="24"/>
      <c r="B37" s="15">
        <f>B31</f>
      </c>
      <c r="C37" s="10"/>
      <c r="D37" s="10"/>
      <c r="E37" s="10"/>
      <c r="F37" s="10"/>
      <c r="G37" s="10"/>
      <c r="H37" s="11"/>
      <c r="I37" s="6"/>
      <c r="J37" s="7"/>
    </row>
    <row x14ac:dyDescent="0.25" r="38" customHeight="1" ht="18.75">
      <c r="A38" s="24"/>
      <c r="B38" s="15">
        <f>B32</f>
      </c>
      <c r="C38" s="10"/>
      <c r="D38" s="10"/>
      <c r="E38" s="10"/>
      <c r="F38" s="10"/>
      <c r="G38" s="10"/>
      <c r="H38" s="11"/>
      <c r="I38" s="6"/>
      <c r="J38" s="7"/>
    </row>
    <row x14ac:dyDescent="0.25" r="39" customHeight="1" ht="18.75">
      <c r="A39" s="24"/>
      <c r="B39" s="15">
        <f>B33</f>
      </c>
      <c r="C39" s="10"/>
      <c r="D39" s="10"/>
      <c r="E39" s="10"/>
      <c r="F39" s="10"/>
      <c r="G39" s="10"/>
      <c r="H39" s="11"/>
      <c r="I39" s="6"/>
      <c r="J39" s="7"/>
    </row>
    <row x14ac:dyDescent="0.25" r="40" customHeight="1" ht="18.75">
      <c r="A40" s="24"/>
      <c r="B40" s="15">
        <f>B34</f>
      </c>
      <c r="C40" s="10"/>
      <c r="D40" s="10"/>
      <c r="E40" s="10"/>
      <c r="F40" s="10"/>
      <c r="G40" s="10"/>
      <c r="H40" s="11"/>
      <c r="I40" s="6"/>
      <c r="J40" s="7"/>
    </row>
    <row x14ac:dyDescent="0.25" r="41" customHeight="1" ht="18.75">
      <c r="A41" s="24"/>
      <c r="B41" s="15">
        <f>B35</f>
      </c>
      <c r="C41" s="10"/>
      <c r="D41" s="10"/>
      <c r="E41" s="10"/>
      <c r="F41" s="10"/>
      <c r="G41" s="10"/>
      <c r="H41" s="11"/>
      <c r="I41" s="6"/>
      <c r="J41" s="7"/>
    </row>
    <row x14ac:dyDescent="0.25" r="42" customHeight="1" ht="18.75">
      <c r="A42" s="24">
        <v>0.764</v>
      </c>
      <c r="B42" s="15">
        <f>B36</f>
      </c>
      <c r="C42" s="22">
        <v>1</v>
      </c>
      <c r="D42" s="10"/>
      <c r="E42" s="10"/>
      <c r="F42" s="10"/>
      <c r="G42" s="10"/>
      <c r="H42" s="11"/>
      <c r="I42" s="6"/>
      <c r="J42" s="7"/>
    </row>
    <row x14ac:dyDescent="0.25" r="43" customHeight="1" ht="18.75">
      <c r="A43" s="8"/>
      <c r="B43" s="15">
        <f>B37</f>
      </c>
      <c r="C43" s="10"/>
      <c r="D43" s="10"/>
      <c r="E43" s="10"/>
      <c r="F43" s="10"/>
      <c r="G43" s="10"/>
      <c r="H43" s="11"/>
      <c r="I43" s="6"/>
      <c r="J43" s="7"/>
    </row>
    <row x14ac:dyDescent="0.25" r="44" customHeight="1" ht="18.75">
      <c r="A44" s="8"/>
      <c r="B44" s="15">
        <f>B38</f>
      </c>
      <c r="C44" s="10"/>
      <c r="D44" s="10"/>
      <c r="E44" s="10"/>
      <c r="F44" s="10"/>
      <c r="G44" s="10"/>
      <c r="H44" s="11"/>
      <c r="I44" s="6"/>
      <c r="J44" s="7"/>
    </row>
    <row x14ac:dyDescent="0.25" r="45" customHeight="1" ht="18.75">
      <c r="A45" s="8"/>
      <c r="B45" s="15">
        <f>B39</f>
      </c>
      <c r="C45" s="10"/>
      <c r="D45" s="10"/>
      <c r="E45" s="10"/>
      <c r="F45" s="10"/>
      <c r="G45" s="10"/>
      <c r="H45" s="11"/>
      <c r="I45" s="6"/>
      <c r="J45" s="7"/>
    </row>
    <row x14ac:dyDescent="0.25" r="46" customHeight="1" ht="18.75">
      <c r="A46" s="8"/>
      <c r="B46" s="15">
        <f>B40</f>
      </c>
      <c r="C46" s="10"/>
      <c r="D46" s="10"/>
      <c r="E46" s="10"/>
      <c r="F46" s="10"/>
      <c r="G46" s="10"/>
      <c r="H46" s="11"/>
      <c r="I46" s="6"/>
      <c r="J46" s="7"/>
    </row>
    <row x14ac:dyDescent="0.25" r="47" customHeight="1" ht="18.75">
      <c r="A47" s="8"/>
      <c r="B47" s="15">
        <f>B41</f>
      </c>
      <c r="C47" s="10"/>
      <c r="D47" s="10"/>
      <c r="E47" s="10"/>
      <c r="F47" s="10"/>
      <c r="G47" s="10"/>
      <c r="H47" s="11"/>
      <c r="I47" s="6"/>
      <c r="J47" s="7"/>
    </row>
    <row x14ac:dyDescent="0.25" r="48" customHeight="1" ht="18.75">
      <c r="A48" s="8"/>
      <c r="B48" s="15">
        <f>B42</f>
      </c>
      <c r="C48" s="10"/>
      <c r="D48" s="10"/>
      <c r="E48" s="10"/>
      <c r="F48" s="10"/>
      <c r="G48" s="10"/>
      <c r="H48" s="11"/>
      <c r="I48" s="6"/>
      <c r="J48" s="7"/>
    </row>
    <row x14ac:dyDescent="0.25" r="49" customHeight="1" ht="18.75">
      <c r="A49" s="8"/>
      <c r="B49" s="15">
        <f>B43</f>
      </c>
      <c r="C49" s="10"/>
      <c r="D49" s="10"/>
      <c r="E49" s="10"/>
      <c r="F49" s="10"/>
      <c r="G49" s="10"/>
      <c r="H49" s="11"/>
      <c r="I49" s="6"/>
      <c r="J49" s="7"/>
    </row>
    <row x14ac:dyDescent="0.25" r="50" customHeight="1" ht="18.75">
      <c r="A50" s="8"/>
      <c r="B50" s="15">
        <f>B44</f>
      </c>
      <c r="C50" s="10"/>
      <c r="D50" s="10"/>
      <c r="E50" s="10"/>
      <c r="F50" s="10"/>
      <c r="G50" s="10"/>
      <c r="H50" s="11"/>
      <c r="I50" s="6"/>
      <c r="J50" s="7"/>
    </row>
    <row x14ac:dyDescent="0.25" r="51" customHeight="1" ht="18.75">
      <c r="A51" s="8"/>
      <c r="B51" s="15">
        <f>B45</f>
      </c>
      <c r="C51" s="10"/>
      <c r="D51" s="10"/>
      <c r="E51" s="10"/>
      <c r="F51" s="10"/>
      <c r="G51" s="10"/>
      <c r="H51" s="11"/>
      <c r="I51" s="6"/>
      <c r="J51" s="7"/>
    </row>
    <row x14ac:dyDescent="0.25" r="52" customHeight="1" ht="18.75">
      <c r="A52" s="8"/>
      <c r="B52" s="15">
        <f>B46</f>
      </c>
      <c r="C52" s="10"/>
      <c r="D52" s="10"/>
      <c r="E52" s="10"/>
      <c r="F52" s="10"/>
      <c r="G52" s="10"/>
      <c r="H52" s="11"/>
      <c r="I52" s="6"/>
      <c r="J52" s="7"/>
    </row>
    <row x14ac:dyDescent="0.25" r="53" customHeight="1" ht="18.75">
      <c r="A53" s="8"/>
      <c r="B53" s="15">
        <f>B47</f>
      </c>
      <c r="C53" s="10"/>
      <c r="D53" s="10"/>
      <c r="E53" s="10"/>
      <c r="F53" s="10"/>
      <c r="G53" s="10"/>
      <c r="H53" s="11"/>
      <c r="I53" s="6"/>
      <c r="J53" s="7"/>
    </row>
    <row x14ac:dyDescent="0.25" r="54" customHeight="1" ht="18.75">
      <c r="A54" s="8"/>
      <c r="B54" s="15">
        <f>B48</f>
      </c>
      <c r="C54" s="10"/>
      <c r="D54" s="10"/>
      <c r="E54" s="10"/>
      <c r="F54" s="10"/>
      <c r="G54" s="10"/>
      <c r="H54" s="11"/>
      <c r="I54" s="6"/>
      <c r="J54" s="7"/>
    </row>
    <row x14ac:dyDescent="0.25" r="55" customHeight="1" ht="18.75">
      <c r="A55" s="8"/>
      <c r="B55" s="15"/>
      <c r="C55" s="10" t="s">
        <v>8</v>
      </c>
      <c r="D55" s="22">
        <f>SUM(D2:D54)</f>
      </c>
      <c r="E55" s="22">
        <f>SUM(E2:E54)</f>
      </c>
      <c r="F55" s="22">
        <f>SUM(F2:F54)</f>
      </c>
      <c r="G55" s="22">
        <f>SUM(G2:G54)</f>
      </c>
      <c r="H55" s="25"/>
      <c r="I55" s="6"/>
      <c r="J55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Sheet1</vt:lpstr>
      <vt:lpstr>Sheet3</vt:lpstr>
      <vt:lpstr>Sheet2</vt:lpstr>
      <vt:lpstr>Sheet4</vt:lpstr>
      <vt:lpstr>stopLoss</vt:lpstr>
      <vt:lpstr>takeProfit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2025-07-24T14:43:35.372Z</dcterms:created>
  <dcterms:modified xsi:type="dcterms:W3CDTF">2025-07-24T14:43:35.372Z</dcterms:modified>
</cp:coreProperties>
</file>