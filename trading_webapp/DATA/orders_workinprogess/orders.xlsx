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<sst xmlns="http://schemas.openxmlformats.org/spreadsheetml/2006/main" count="1511" uniqueCount="1253">
  <si>
    <t>Date</t>
  </si>
  <si>
    <t>AD1_alpha_forecast</t>
  </si>
  <si>
    <t>AD1_one_perc_change</t>
  </si>
  <si>
    <t>AD1_ block_value</t>
  </si>
  <si>
    <t>AD1_ price_volatility</t>
  </si>
  <si>
    <t>AD1_cash_vol_daily</t>
  </si>
  <si>
    <t>AD1_std_dev</t>
  </si>
  <si>
    <t>AD1_icv</t>
  </si>
  <si>
    <t>AD1_ivv</t>
  </si>
  <si>
    <t>AD1_vol_scalar</t>
  </si>
  <si>
    <t>AD1_alpha_subsystem_position</t>
  </si>
  <si>
    <t>AD1_alpha_trades_needed</t>
  </si>
  <si>
    <t>AD1_alpha_target_pos</t>
  </si>
  <si>
    <t>AD1_daily_instrument_pnls</t>
  </si>
  <si>
    <t>AD1_daily_current_pnls</t>
  </si>
  <si>
    <t>RX1_alpha_forecast</t>
  </si>
  <si>
    <t>RX1_one_perc_change</t>
  </si>
  <si>
    <t>RX1_ block_value</t>
  </si>
  <si>
    <t>RX1_ price_volatility</t>
  </si>
  <si>
    <t>RX1_cash_vol_daily</t>
  </si>
  <si>
    <t>RX1_std_dev</t>
  </si>
  <si>
    <t>RX1_icv</t>
  </si>
  <si>
    <t>RX1_ivv</t>
  </si>
  <si>
    <t>RX1_vol_scalar</t>
  </si>
  <si>
    <t>RX1_alpha_subsystem_position</t>
  </si>
  <si>
    <t>AD1_current_pos</t>
  </si>
  <si>
    <t>RX1_alpha_trades_needed</t>
  </si>
  <si>
    <t>RX1_alpha_target_pos</t>
  </si>
  <si>
    <t>RX1_current_pos</t>
  </si>
  <si>
    <t>RX1_daily_instrument_pnls</t>
  </si>
  <si>
    <t>RX1_daily_current_pnls</t>
  </si>
  <si>
    <t>AUM</t>
  </si>
  <si>
    <t>pX_CLOSE_1D</t>
  </si>
  <si>
    <t>executionPrice</t>
  </si>
  <si>
    <t>dailyInstPnl</t>
  </si>
  <si>
    <t>dailyCurrentPnl</t>
  </si>
  <si>
    <t>dailyPnl</t>
  </si>
  <si>
    <t>aum</t>
  </si>
  <si>
    <t>daily_cash_volt</t>
  </si>
  <si>
    <t>TICKVALUE</t>
  </si>
  <si>
    <t>TICKSIZE</t>
  </si>
  <si>
    <t>totalldailyInstPn</t>
  </si>
  <si>
    <t>0.5619965895395556</t>
  </si>
  <si>
    <t>560.5600000000001</t>
  </si>
  <si>
    <t>343.8570461370329</t>
  </si>
  <si>
    <t>8.404672615041916</t>
  </si>
  <si>
    <t>1631.3999999999999</t>
  </si>
  <si>
    <t>1.2212136040215122</t>
  </si>
  <si>
    <t>90.34466083363954</t>
  </si>
  <si>
    <t>75.93172968237403</t>
  </si>
  <si>
    <t>84.7398103255294</t>
  </si>
  <si>
    <t>138244.52656506983</t>
  </si>
  <si>
    <t>10138244.52656507</t>
  </si>
  <si>
    <t>126728.05658206338</t>
  </si>
  <si>
    <t>0.5904448887526405</t>
  </si>
  <si>
    <t>382.12732800000003</t>
  </si>
  <si>
    <t>331.63829775101397</t>
  </si>
  <si>
    <t>77454.2880802318</t>
  </si>
  <si>
    <t>8.019115858852254</t>
  </si>
  <si>
    <t>1633.3999999999999</t>
  </si>
  <si>
    <t>1.2035112518435158</t>
  </si>
  <si>
    <t>1366.8160527999999</t>
  </si>
  <si>
    <t>92.71771159144188</t>
  </si>
  <si>
    <t>74.35140714194212</t>
  </si>
  <si>
    <t>82.97617037040742</t>
  </si>
  <si>
    <t>2880.729502696246</t>
  </si>
  <si>
    <t>16595.2340740829</t>
  </si>
  <si>
    <t>10141125.256067766</t>
  </si>
  <si>
    <t>126764.06570084707</t>
  </si>
  <si>
    <t>0.7185507404868152</t>
  </si>
  <si>
    <t>717.7149999999999</t>
  </si>
  <si>
    <t>465.43817749999994</t>
  </si>
  <si>
    <t>272.35424988498517</t>
  </si>
  <si>
    <t>27618.848915976116</t>
  </si>
  <si>
    <t>258457.5828307541</t>
  </si>
  <si>
    <t>8.759681600080548</t>
  </si>
  <si>
    <t>1.1765115100643988</t>
  </si>
  <si>
    <t>1330.2007488000002</t>
  </si>
  <si>
    <t>95.29694357427132</t>
  </si>
  <si>
    <t>83.47708831714587</t>
  </si>
  <si>
    <t>10.184260191527372</t>
  </si>
  <si>
    <t>93.16043056193479</t>
  </si>
  <si>
    <t>16639.0443009175</t>
  </si>
  <si>
    <t>3726.4172224766503</t>
  </si>
  <si>
    <t>10185383.149284659</t>
  </si>
  <si>
    <t>0.6243500000000001</t>
  </si>
  <si>
    <t>127317.28936605825</t>
  </si>
  <si>
    <t>0.8161330569546732</t>
  </si>
  <si>
    <t>240.0368901985069</t>
  </si>
  <si>
    <t>13.626143491809387</t>
  </si>
  <si>
    <t>8507.482689111186</t>
  </si>
  <si>
    <t>9.031464441721644</t>
  </si>
  <si>
    <t>1.6356000000000002</t>
  </si>
  <si>
    <t>1635.6000000000001</t>
  </si>
  <si>
    <t>1.1830381791447253</t>
  </si>
  <si>
    <t>95.60750516473715</t>
  </si>
  <si>
    <t>86.34757832570419</t>
  </si>
  <si>
    <t>3.203466849551077</t>
  </si>
  <si>
    <t>96.36389741148587</t>
  </si>
  <si>
    <t>5239.590379125777</t>
  </si>
  <si>
    <t>17345.501534068113</t>
  </si>
  <si>
    <t>10199130.222352896</t>
  </si>
  <si>
    <t>127489.12777941121</t>
  </si>
  <si>
    <t>0.8774143832805217</t>
  </si>
  <si>
    <t>877.4499999999999</t>
  </si>
  <si>
    <t>569.0263249999999</t>
  </si>
  <si>
    <t>224.04785539475915</t>
  </si>
  <si>
    <t>6047.713014813764</t>
  </si>
  <si>
    <t>9.940548125709691</t>
  </si>
  <si>
    <t>1.6336000000000002</t>
  </si>
  <si>
    <t>1633.6000000000001</t>
  </si>
  <si>
    <t>1.1616558583823875</t>
  </si>
  <si>
    <t>97.20380748207198</t>
  </si>
  <si>
    <t>96.62591262777563</t>
  </si>
  <si>
    <t>11.470621081111744</t>
  </si>
  <si>
    <t>107.83451849259761</t>
  </si>
  <si>
    <t>18738.40659810416</t>
  </si>
  <si>
    <t>10223916.341965813</t>
  </si>
  <si>
    <t>127798.95427457266</t>
  </si>
  <si>
    <t>0.9267258674068106</t>
  </si>
  <si>
    <t>599.7665219999999</t>
  </si>
  <si>
    <t>213.08117340129346</t>
  </si>
  <si>
    <t>10.905995189135638</t>
  </si>
  <si>
    <t>6815.156393690901</t>
  </si>
  <si>
    <t>47577.89254586018</t>
  </si>
  <si>
    <t>8.511350251505814</t>
  </si>
  <si>
    <t>1.1258207376461755</t>
  </si>
  <si>
    <t>100.26438282983105</t>
  </si>
  <si>
    <t>85.33852800157577</t>
  </si>
  <si>
    <t>95.23779724975856</t>
  </si>
  <si>
    <t>20578.003822301893</t>
  </si>
  <si>
    <t>10251309.502181806</t>
  </si>
  <si>
    <t>128141.36877727258</t>
  </si>
  <si>
    <t>0.9487451361250526</t>
  </si>
  <si>
    <t>615.9764279999999</t>
  </si>
  <si>
    <t>208.02966307222488</t>
  </si>
  <si>
    <t>118.25975706086265</t>
  </si>
  <si>
    <t>7.773999396167477</t>
  </si>
  <si>
    <t>1.0965532362730477</t>
  </si>
  <si>
    <t>1094.5120000000002</t>
  </si>
  <si>
    <t>1237.6741696000001</t>
  </si>
  <si>
    <t>103.53400913156827</t>
  </si>
  <si>
    <t>80.48733244716098</t>
  </si>
  <si>
    <t>89.82386301103166</t>
  </si>
  <si>
    <t>8844.202972384262</t>
  </si>
  <si>
    <t>10260271.96491125</t>
  </si>
  <si>
    <t>128253.39956139063</t>
  </si>
  <si>
    <t>0.9877330948461308</t>
  </si>
  <si>
    <t>990.4110000000001</t>
  </si>
  <si>
    <t>199.68408380433473</t>
  </si>
  <si>
    <t>6.24644817654945</t>
  </si>
  <si>
    <t>3890.912569172661</t>
  </si>
  <si>
    <t>50224.11905185818</t>
  </si>
  <si>
    <t>7.255421377086454</t>
  </si>
  <si>
    <t>1.0339192424850936</t>
  </si>
  <si>
    <t>1029.1680000000001</t>
  </si>
  <si>
    <t>1163.7831744000002</t>
  </si>
  <si>
    <t>110.20386132280433</t>
  </si>
  <si>
    <t>79.95754512789456</t>
  </si>
  <si>
    <t>89.23262036273034</t>
  </si>
  <si>
    <t>965.8539902650335</t>
  </si>
  <si>
    <t>10265128.731470687</t>
  </si>
  <si>
    <t>0.6222500000000001</t>
  </si>
  <si>
    <t>622.2500000000001</t>
  </si>
  <si>
    <t>128314.1091433836</t>
  </si>
  <si>
    <t>1.007609051164037</t>
  </si>
  <si>
    <t>1008.0450000000003</t>
  </si>
  <si>
    <t>653.7171825000001</t>
  </si>
  <si>
    <t>196.28382514388562</t>
  </si>
  <si>
    <t>2158.567154060286</t>
  </si>
  <si>
    <t>16548.321801558068</t>
  </si>
  <si>
    <t>6.831992214542767</t>
  </si>
  <si>
    <t>0.9716269860296236</t>
  </si>
  <si>
    <t>117.46496126318917</t>
  </si>
  <si>
    <t>80.2519700831676</t>
  </si>
  <si>
    <t>0.32857825008471764</t>
  </si>
  <si>
    <t>89.56119861281506</t>
  </si>
  <si>
    <t>537.9811688637116</t>
  </si>
  <si>
    <t>33137.643486739435</t>
  </si>
  <si>
    <t>10267825.27979361</t>
  </si>
  <si>
    <t>128347.81599742014</t>
  </si>
  <si>
    <t>1.025003780474849</t>
  </si>
  <si>
    <t>192.85863392681276</t>
  </si>
  <si>
    <t>1466.756091895434</t>
  </si>
  <si>
    <t>7708.436535551087</t>
  </si>
  <si>
    <t>8.718771208777873</t>
  </si>
  <si>
    <t>1635.3999999999999</t>
  </si>
  <si>
    <t>0.9228566157938026</t>
  </si>
  <si>
    <t>123.93405589540087</t>
  </si>
  <si>
    <t>108.05526783278887</t>
  </si>
  <si>
    <t>31.028480288577313</t>
  </si>
  <si>
    <t>120.58967890139238</t>
  </si>
  <si>
    <t>50743.976663939466</t>
  </si>
  <si>
    <t>10320036.012549445</t>
  </si>
  <si>
    <t>622.4499999999999</t>
  </si>
  <si>
    <t>129000.45015686807</t>
  </si>
  <si>
    <t>1.023269148361161</t>
  </si>
  <si>
    <t>1020.8179999999999</t>
  </si>
  <si>
    <t>662.0004729999998</t>
  </si>
  <si>
    <t>194.86458910259435</t>
  </si>
  <si>
    <t>3967.97856031805</t>
  </si>
  <si>
    <t>7.763321302510844</t>
  </si>
  <si>
    <t>0.8241264061504453</t>
  </si>
  <si>
    <t>817.6999999999999</t>
  </si>
  <si>
    <t>924.6551599999999</t>
  </si>
  <si>
    <t>139.51195617279427</t>
  </si>
  <si>
    <t>108.3076141311213</t>
  </si>
  <si>
    <t>0.28161846893900133</t>
  </si>
  <si>
    <t>120.87129737033138</t>
  </si>
  <si>
    <t>460.558844102844</t>
  </si>
  <si>
    <t>10324464.549953867</t>
  </si>
  <si>
    <t>129055.80687442335</t>
  </si>
  <si>
    <t>1.0329878992455863</t>
  </si>
  <si>
    <t>1033.2669999999998</t>
  </si>
  <si>
    <t>670.0736494999999</t>
  </si>
  <si>
    <t>192.59943585413797</t>
  </si>
  <si>
    <t>5.23490283544993</t>
  </si>
  <si>
    <t>3258.4652699258118</t>
  </si>
  <si>
    <t>7.240967180607876</t>
  </si>
  <si>
    <t>0.7287031860191797</t>
  </si>
  <si>
    <t>832.1896439999999</t>
  </si>
  <si>
    <t>155.07980399047523</t>
  </si>
  <si>
    <t>112.29277710701334</t>
  </si>
  <si>
    <t>4.447441881095514</t>
  </si>
  <si>
    <t>125.31873925142689</t>
  </si>
  <si>
    <t>7273.346452343622</t>
  </si>
  <si>
    <t>10334996.361676136</t>
  </si>
  <si>
    <t>129187.45452095171</t>
  </si>
  <si>
    <t>1.0516642366528006</t>
  </si>
  <si>
    <t>682.4165499999999</t>
  </si>
  <si>
    <t>189.30879463716366</t>
  </si>
  <si>
    <t>7.659955503644937</t>
  </si>
  <si>
    <t>4741.512456756214</t>
  </si>
  <si>
    <t>86397.59133011865</t>
  </si>
  <si>
    <t>6.817484431658543</t>
  </si>
  <si>
    <t>1.6463999999999999</t>
  </si>
  <si>
    <t>1646.3999999999999</t>
  </si>
  <si>
    <t>0.6517609479821411</t>
  </si>
  <si>
    <t>744.6996479999999</t>
  </si>
  <si>
    <t>173.47591726127916</t>
  </si>
  <si>
    <t>118.26693651964563</t>
  </si>
  <si>
    <t>6.6671619044976325</t>
  </si>
  <si>
    <t>131.98590115592452</t>
  </si>
  <si>
    <t>10976.815359564902</t>
  </si>
  <si>
    <t>145184.49127151622</t>
  </si>
  <si>
    <t>10350714.689492457</t>
  </si>
  <si>
    <t>0.6193500000000001</t>
  </si>
  <si>
    <t>129383.93361865572</t>
  </si>
  <si>
    <t>1.0346928690781774</t>
  </si>
  <si>
    <t>670.7529532499999</t>
  </si>
  <si>
    <t>192.89357280016677</t>
  </si>
  <si>
    <t>5627.677695784936</t>
  </si>
  <si>
    <t>10.07854451758647</t>
  </si>
  <si>
    <t>1.6481999999999999</t>
  </si>
  <si>
    <t>1648.1999999999998</t>
  </si>
  <si>
    <t>0.6207656562514628</t>
  </si>
  <si>
    <t>626.3159999999999</t>
  </si>
  <si>
    <t>708.2381327999999</t>
  </si>
  <si>
    <t>182.68422388828446</t>
  </si>
  <si>
    <t>184.1191083118809</t>
  </si>
  <si>
    <t>73.49102372013456</t>
  </si>
  <si>
    <t>205.4769248760591</t>
  </si>
  <si>
    <t>121127.905295526</t>
  </si>
  <si>
    <t>36985.84647769204</t>
  </si>
  <si>
    <t>10477470.272483768</t>
  </si>
  <si>
    <t>130968.37840604711</t>
  </si>
  <si>
    <t>0.9703434958755296</t>
  </si>
  <si>
    <t>969.8520000000001</t>
  </si>
  <si>
    <t>208.23369434549673</t>
  </si>
  <si>
    <t>14112.608073187257</t>
  </si>
  <si>
    <t>13.070845137605636</t>
  </si>
  <si>
    <t>0.5105790829845609</t>
  </si>
  <si>
    <t>227.852899758654</t>
  </si>
  <si>
    <t>297.8229966899747</t>
  </si>
  <si>
    <t>126.89353942995271</t>
  </si>
  <si>
    <t>332.3704643060118</t>
  </si>
  <si>
    <t>208067.33660329407</t>
  </si>
  <si>
    <t>10699650.21716025</t>
  </si>
  <si>
    <t>624.1999999999999</t>
  </si>
  <si>
    <t>133745.62771450312</t>
  </si>
  <si>
    <t>0.9206724444600152</t>
  </si>
  <si>
    <t>917.5739999999998</t>
  </si>
  <si>
    <t>595.0467389999999</t>
  </si>
  <si>
    <t>224.76491164251746</t>
  </si>
  <si>
    <t>2184.262660319134</t>
  </si>
  <si>
    <t>6.764840022518676</t>
  </si>
  <si>
    <t>1.6396000000000002</t>
  </si>
  <si>
    <t>1639.6000000000001</t>
  </si>
  <si>
    <t>0.4729894290376759</t>
  </si>
  <si>
    <t>248.74701967801985</t>
  </si>
  <si>
    <t>168.27337942001094</t>
  </si>
  <si>
    <t>187.7930914327322</t>
  </si>
  <si>
    <t>237049.06056302943</t>
  </si>
  <si>
    <t>10938883.540383598</t>
  </si>
  <si>
    <t>136736.04425479498</t>
  </si>
  <si>
    <t>0.8513179488228914</t>
  </si>
  <si>
    <t>848.6400000000001</t>
  </si>
  <si>
    <t>550.3430400000001</t>
  </si>
  <si>
    <t>248.45602527251904</t>
  </si>
  <si>
    <t>1.8566815034585034</t>
  </si>
  <si>
    <t>1158.5692581581104</t>
  </si>
  <si>
    <t>5677.137469688439</t>
  </si>
  <si>
    <t>4.979517073494592</t>
  </si>
  <si>
    <t>1.6374000000000002</t>
  </si>
  <si>
    <t>0.4627083314372061</t>
  </si>
  <si>
    <t>458.4720000000001</t>
  </si>
  <si>
    <t>518.4401376000001</t>
  </si>
  <si>
    <t>263.74509675848634</t>
  </si>
  <si>
    <t>131.3323212359366</t>
  </si>
  <si>
    <t>146.56687049930525</t>
  </si>
  <si>
    <t>67503.81415639387</t>
  </si>
  <si>
    <t>11007545.92379815</t>
  </si>
  <si>
    <t>137594.32404747687</t>
  </si>
  <si>
    <t>0.812963355050346</t>
  </si>
  <si>
    <t>260.74906115766123</t>
  </si>
  <si>
    <t>5.840880056166384</t>
  </si>
  <si>
    <t>3628.06264688775</t>
  </si>
  <si>
    <t>79234.55812703924</t>
  </si>
  <si>
    <t>2.74069538142839</t>
  </si>
  <si>
    <t>0.4494441010642225</t>
  </si>
  <si>
    <t>442.69200000000006</t>
  </si>
  <si>
    <t>500.5961136000001</t>
  </si>
  <si>
    <t>274.8609513924857</t>
  </si>
  <si>
    <t>75.33101400163987</t>
  </si>
  <si>
    <t>84.0694116258301</t>
  </si>
  <si>
    <t>102470.83356894995</t>
  </si>
  <si>
    <t>18495.270557682525</t>
  </si>
  <si>
    <t>11113644.820013987</t>
  </si>
  <si>
    <t>138920.56025017484</t>
  </si>
  <si>
    <t>0.7499995555474805</t>
  </si>
  <si>
    <t>285.6173397636502</t>
  </si>
  <si>
    <t>15247.097532063995</t>
  </si>
  <si>
    <t>39339.82485699891</t>
  </si>
  <si>
    <t>3.055254727555943</t>
  </si>
  <si>
    <t>1.6421000000000001</t>
  </si>
  <si>
    <t>1642.1000000000001</t>
  </si>
  <si>
    <t>0.4679572629861004</t>
  </si>
  <si>
    <t>459.78800000000007</t>
  </si>
  <si>
    <t>519.9282704000001</t>
  </si>
  <si>
    <t>267.1917804032816</t>
  </si>
  <si>
    <t>81.63389502412156</t>
  </si>
  <si>
    <t>7.034015221089561</t>
  </si>
  <si>
    <t>91.10342684691966</t>
  </si>
  <si>
    <t>11550.556394551162</t>
  </si>
  <si>
    <t>22775.856711729914</t>
  </si>
  <si>
    <t>11140442.473940602</t>
  </si>
  <si>
    <t>139255.53092425753</t>
  </si>
  <si>
    <t>0.7541834436360868</t>
  </si>
  <si>
    <t>283.9179617253757</t>
  </si>
  <si>
    <t>4404.548148961703</t>
  </si>
  <si>
    <t>153339.64915054178</t>
  </si>
  <si>
    <t>4.467565080245449</t>
  </si>
  <si>
    <t>0.4875106836246121</t>
  </si>
  <si>
    <t>493.22999999999996</t>
  </si>
  <si>
    <t>557.7444839999999</t>
  </si>
  <si>
    <t>249.67621360511302</t>
  </si>
  <si>
    <t>111.54447332701065</t>
  </si>
  <si>
    <t>33.38020538602423</t>
  </si>
  <si>
    <t>124.48363223294389</t>
  </si>
  <si>
    <t>54880.39567516273</t>
  </si>
  <si>
    <t>24896.726446587363</t>
  </si>
  <si>
    <t>11199727.417764725</t>
  </si>
  <si>
    <t>139996.59272205908</t>
  </si>
  <si>
    <t>0.687110374433999</t>
  </si>
  <si>
    <t>689.4720000000001</t>
  </si>
  <si>
    <t>447.12259200000005</t>
  </si>
  <si>
    <t>313.105611809611</t>
  </si>
  <si>
    <t>35266.66255579676</t>
  </si>
  <si>
    <t>6.012259557872533</t>
  </si>
  <si>
    <t>0.519237582083733</t>
  </si>
  <si>
    <t>595.5064192000001</t>
  </si>
  <si>
    <t>235.08830166789755</t>
  </si>
  <si>
    <t>141.34118886468383</t>
  </si>
  <si>
    <t>33.25313454004326</t>
  </si>
  <si>
    <t>157.73676677298715</t>
  </si>
  <si>
    <t>54724.68351254937</t>
  </si>
  <si>
    <t>25237.882683677406</t>
  </si>
  <si>
    <t>11289718.763833072</t>
  </si>
  <si>
    <t>141121.4845479134</t>
  </si>
  <si>
    <t>0.6455389866782075</t>
  </si>
  <si>
    <t>643.4480000000001</t>
  </si>
  <si>
    <t>417.27602800000005</t>
  </si>
  <si>
    <t>338.19696095245945</t>
  </si>
  <si>
    <t>29554.962948567874</t>
  </si>
  <si>
    <t>7.356614302953905</t>
  </si>
  <si>
    <t>1.6488999999999998</t>
  </si>
  <si>
    <t>1648.8999999999999</t>
  </si>
  <si>
    <t>0.5705590825218624</t>
  </si>
  <si>
    <t>577.1149999999999</t>
  </si>
  <si>
    <t>652.6016419999999</t>
  </si>
  <si>
    <t>216.24445215219583</t>
  </si>
  <si>
    <t>159.0827029637275</t>
  </si>
  <si>
    <t>19.79952973453274</t>
  </si>
  <si>
    <t>177.5362965075199</t>
  </si>
  <si>
    <t>32647.44457927099</t>
  </si>
  <si>
    <t>56811.614882405156</t>
  </si>
  <si>
    <t>11351921.171360912</t>
  </si>
  <si>
    <t>141899.0146420114</t>
  </si>
  <si>
    <t>0.5908309825899576</t>
  </si>
  <si>
    <t>369.73673670288343</t>
  </si>
  <si>
    <t>4402.975651027755</t>
  </si>
  <si>
    <t>9.404696548133453</t>
  </si>
  <si>
    <t>1.6459000000000001</t>
  </si>
  <si>
    <t>0.5723903097085269</t>
  </si>
  <si>
    <t>576.0649999999999</t>
  </si>
  <si>
    <t>651.4143019999999</t>
  </si>
  <si>
    <t>217.83220633373725</t>
  </si>
  <si>
    <t>204.8645798979193</t>
  </si>
  <si>
    <t>51.09257465855805</t>
  </si>
  <si>
    <t>228.62887116607794</t>
  </si>
  <si>
    <t>84093.26863052128</t>
  </si>
  <si>
    <t>11440417.41564246</t>
  </si>
  <si>
    <t>0.6213000000000001</t>
  </si>
  <si>
    <t>621.3000000000001</t>
  </si>
  <si>
    <t>143005.21769553077</t>
  </si>
  <si>
    <t>0.5332356420835321</t>
  </si>
  <si>
    <t>534.3180000000001</t>
  </si>
  <si>
    <t>346.50522300000006</t>
  </si>
  <si>
    <t>412.70725000162764</t>
  </si>
  <si>
    <t>30.50958762368174</t>
  </si>
  <si>
    <t>18955.6067905934</t>
  </si>
  <si>
    <t>64579.87104760575</t>
  </si>
  <si>
    <t>7.745788207526934</t>
  </si>
  <si>
    <t>1.6430000000000002</t>
  </si>
  <si>
    <t>1643.0000000000002</t>
  </si>
  <si>
    <t>0.5462700797056222</t>
  </si>
  <si>
    <t>233.24620175931085</t>
  </si>
  <si>
    <t>180.6675679037718</t>
  </si>
  <si>
    <t>201.62500578060934</t>
  </si>
  <si>
    <t>44367.35082832493</t>
  </si>
  <si>
    <t>11503740.37326138</t>
  </si>
  <si>
    <t>143796.75466576725</t>
  </si>
  <si>
    <t>0.4681224020719281</t>
  </si>
  <si>
    <t>302.18478749999997</t>
  </si>
  <si>
    <t>475.85702726934016</t>
  </si>
  <si>
    <t>20364.93019513515</t>
  </si>
  <si>
    <t>4.883200428682144</t>
  </si>
  <si>
    <t>0.5300226410084805</t>
  </si>
  <si>
    <t>242.2055711090872</t>
  </si>
  <si>
    <t>118.27383486690982</t>
  </si>
  <si>
    <t>131.99359971147138</t>
  </si>
  <si>
    <t>114244.24793763533</t>
  </si>
  <si>
    <t>11638349.55139415</t>
  </si>
  <si>
    <t>145479.3693924269</t>
  </si>
  <si>
    <t>0.3667132167261178</t>
  </si>
  <si>
    <t>365.79999999999995</t>
  </si>
  <si>
    <t>237.22129999999996</t>
  </si>
  <si>
    <t>613.2643628225076</t>
  </si>
  <si>
    <t>59404.317082543865</t>
  </si>
  <si>
    <t>2.1062584128022306</t>
  </si>
  <si>
    <t>0.5078936896454073</t>
  </si>
  <si>
    <t>575.3544324000001</t>
  </si>
  <si>
    <t>252.85174007538743</t>
  </si>
  <si>
    <t>53.25711047254676</t>
  </si>
  <si>
    <t>59.434935287362194</t>
  </si>
  <si>
    <t>119090.53591929047</t>
  </si>
  <si>
    <t>3566.096117241867</t>
  </si>
  <si>
    <t>11816844.404395984</t>
  </si>
  <si>
    <t>147710.5550549498</t>
  </si>
  <si>
    <t>0.2964465943835865</t>
  </si>
  <si>
    <t>191.01502649999998</t>
  </si>
  <si>
    <t>773.2928542925382</t>
  </si>
  <si>
    <t>84132.44764887619</t>
  </si>
  <si>
    <t>1.4188823206211467</t>
  </si>
  <si>
    <t>0.5031623329652005</t>
  </si>
  <si>
    <t>256.1989491255519</t>
  </si>
  <si>
    <t>36.351615947596216</t>
  </si>
  <si>
    <t>40.56840339751738</t>
  </si>
  <si>
    <t>31029.784999227773</t>
  </si>
  <si>
    <t>13793.257155156047</t>
  </si>
  <si>
    <t>11932006.637044089</t>
  </si>
  <si>
    <t>149150.08296305113</t>
  </si>
  <si>
    <t>0.317556687834295</t>
  </si>
  <si>
    <t>718.1551479540698</t>
  </si>
  <si>
    <t>257.2166163221912</t>
  </si>
  <si>
    <t>161519.17421951957</t>
  </si>
  <si>
    <t>3.203620284283002</t>
  </si>
  <si>
    <t>0.5004747745707833</t>
  </si>
  <si>
    <t>267.1565187172621</t>
  </si>
  <si>
    <t>85.58680424410524</t>
  </si>
  <si>
    <t>54.94647013890407</t>
  </si>
  <si>
    <t>95.51487353642145</t>
  </si>
  <si>
    <t>90425.4059075947</t>
  </si>
  <si>
    <t>9551.487353641602</t>
  </si>
  <si>
    <t>12183951.217171203</t>
  </si>
  <si>
    <t>152299.39021464004</t>
  </si>
  <si>
    <t>0.3436232190276844</t>
  </si>
  <si>
    <t>345.92250000000007</t>
  </si>
  <si>
    <t>224.33074125000005</t>
  </si>
  <si>
    <t>678.9055720406755</t>
  </si>
  <si>
    <t>126.44914119764383</t>
  </si>
  <si>
    <t>79530.1873562585</t>
  </si>
  <si>
    <t>4.472033754722936</t>
  </si>
  <si>
    <t>0.5532018920024147</t>
  </si>
  <si>
    <t>246.8726780091277</t>
  </si>
  <si>
    <t>110.40229491756659</t>
  </si>
  <si>
    <t>27.69408759158287</t>
  </si>
  <si>
    <t>123.20896112800432</t>
  </si>
  <si>
    <t>45783.86560640475</t>
  </si>
  <si>
    <t>92406.72084600324</t>
  </si>
  <si>
    <t>12309265.270133866</t>
  </si>
  <si>
    <t>0.6314500000000001</t>
  </si>
  <si>
    <t>153865.81587667332</t>
  </si>
  <si>
    <t>0.3802020296126893</t>
  </si>
  <si>
    <t>626.2416462535249</t>
  </si>
  <si>
    <t>95.07668831863617</t>
  </si>
  <si>
    <t>60036.1748388029</t>
  </si>
  <si>
    <t>8.289191750970405</t>
  </si>
  <si>
    <t>0.5639674931368778</t>
  </si>
  <si>
    <t>634.6479304000001</t>
  </si>
  <si>
    <t>242.44279151701667</t>
  </si>
  <si>
    <t>200.96547875250923</t>
  </si>
  <si>
    <t>101.06851315979597</t>
  </si>
  <si>
    <t>224.2774742878003</t>
  </si>
  <si>
    <t>166833.79467287526</t>
  </si>
  <si>
    <t>12536135.239645544</t>
  </si>
  <si>
    <t>0.6285000000000001</t>
  </si>
  <si>
    <t>628.5000000000001</t>
  </si>
  <si>
    <t>156701.69049556932</t>
  </si>
  <si>
    <t>0.3964033089185849</t>
  </si>
  <si>
    <t>395.9550000000001</t>
  </si>
  <si>
    <t>256.77681750000005</t>
  </si>
  <si>
    <t>610.2641664509658</t>
  </si>
  <si>
    <t>99.56577857129277</t>
  </si>
  <si>
    <t>62577.091832057755</t>
  </si>
  <si>
    <t>22397.298812100773</t>
  </si>
  <si>
    <t>8.074045645733401</t>
  </si>
  <si>
    <t>0.5569613990051747</t>
  </si>
  <si>
    <t>247.1507729961423</t>
  </si>
  <si>
    <t>199.5506622549147</t>
  </si>
  <si>
    <t>222.69853907648482</t>
  </si>
  <si>
    <t>2603.8220569803448</t>
  </si>
  <si>
    <t>12601316.153534582</t>
  </si>
  <si>
    <t>625.5500000000001</t>
  </si>
  <si>
    <t>157516.4519191823</t>
  </si>
  <si>
    <t>0.3981988615272551</t>
  </si>
  <si>
    <t>400.35200000000003</t>
  </si>
  <si>
    <t>606.699920258231</t>
  </si>
  <si>
    <t>14.789347897940871</t>
  </si>
  <si>
    <t>9251.476577556972</t>
  </si>
  <si>
    <t>18034.44118220819</t>
  </si>
  <si>
    <t>6.690135254786195</t>
  </si>
  <si>
    <t>1.6508000000000003</t>
  </si>
  <si>
    <t>1650.8000000000002</t>
  </si>
  <si>
    <t>0.5516345408406861</t>
  </si>
  <si>
    <t>544.7640000000001</t>
  </si>
  <si>
    <t>616.0191312000002</t>
  </si>
  <si>
    <t>255.70058451324644</t>
  </si>
  <si>
    <t>171.0671495121507</t>
  </si>
  <si>
    <t>190.9109388555602</t>
  </si>
  <si>
    <t>52474.97044470248</t>
  </si>
  <si>
    <t>32454.859605448273</t>
  </si>
  <si>
    <t>12663042.600556841</t>
  </si>
  <si>
    <t>0.6232500000000001</t>
  </si>
  <si>
    <t>623.2500000000001</t>
  </si>
  <si>
    <t>158288.03250696053</t>
  </si>
  <si>
    <t>0.3983687571270304</t>
  </si>
  <si>
    <t>398.8800000000001</t>
  </si>
  <si>
    <t>258.67368000000005</t>
  </si>
  <si>
    <t>611.9216787226304</t>
  </si>
  <si>
    <t>31869.26853505484</t>
  </si>
  <si>
    <t>25821.571872265988</t>
  </si>
  <si>
    <t>7.045424040262728</t>
  </si>
  <si>
    <t>1.6518000000000002</t>
  </si>
  <si>
    <t>1651.8000000000002</t>
  </si>
  <si>
    <t>0.5430445039913683</t>
  </si>
  <si>
    <t>256.79755204532694</t>
  </si>
  <si>
    <t>180.92476466607656</t>
  </si>
  <si>
    <t>11.001098511781237</t>
  </si>
  <si>
    <t>201.91203736734144</t>
  </si>
  <si>
    <t>18171.61452176034</t>
  </si>
  <si>
    <t>20191.203736732998</t>
  </si>
  <si>
    <t>12713083.483613657</t>
  </si>
  <si>
    <t>158913.54354517072</t>
  </si>
  <si>
    <t>0.399099820414558</t>
  </si>
  <si>
    <t>258.94345599999997</t>
  </si>
  <si>
    <t>613.6997860458414</t>
  </si>
  <si>
    <t>34391.89487485508</t>
  </si>
  <si>
    <t>7.607929592887469</t>
  </si>
  <si>
    <t>1.6566999999999998</t>
  </si>
  <si>
    <t>1656.6999999999998</t>
  </si>
  <si>
    <t>0.585007122448338</t>
  </si>
  <si>
    <t>579.8449999999999</t>
  </si>
  <si>
    <t>242.36125655936735</t>
  </si>
  <si>
    <t>184.3867375947403</t>
  </si>
  <si>
    <t>3.8635617883887505</t>
  </si>
  <si>
    <t>205.7755991557302</t>
  </si>
  <si>
    <t>6400.762814823645</t>
  </si>
  <si>
    <t>100830.04358630381</t>
  </si>
  <si>
    <t>12753876.141303336</t>
  </si>
  <si>
    <t>621.6500000000001</t>
  </si>
  <si>
    <t>159423.45176629172</t>
  </si>
  <si>
    <t>0.3993747195991917</t>
  </si>
  <si>
    <t>397.85600000000005</t>
  </si>
  <si>
    <t>617.8973258356841</t>
  </si>
  <si>
    <t>19612.49700126832</t>
  </si>
  <si>
    <t>44761.69176519277</t>
  </si>
  <si>
    <t>10.116522180462736</t>
  </si>
  <si>
    <t>0.5898451774112756</t>
  </si>
  <si>
    <t>236.62787811801422</t>
  </si>
  <si>
    <t>239.38511774967236</t>
  </si>
  <si>
    <t>61.37819225290414</t>
  </si>
  <si>
    <t>267.15379140863433</t>
  </si>
  <si>
    <t>101580.90817855642</t>
  </si>
  <si>
    <t>12875069.54648316</t>
  </si>
  <si>
    <t>0.6184000000000001</t>
  </si>
  <si>
    <t>618.4000000000001</t>
  </si>
  <si>
    <t>160938.36933103952</t>
  </si>
  <si>
    <t>0.4084243095788239</t>
  </si>
  <si>
    <t>408.14400000000006</t>
  </si>
  <si>
    <t>264.68138400000004</t>
  </si>
  <si>
    <t>608.0456694719395</t>
  </si>
  <si>
    <t>28425.796747531374</t>
  </si>
  <si>
    <t>79594.94895882902</t>
  </si>
  <si>
    <t>9.716009015158498</t>
  </si>
  <si>
    <t>0.5712121613861053</t>
  </si>
  <si>
    <t>578.4799999999999</t>
  </si>
  <si>
    <t>654.1451839999999</t>
  </si>
  <si>
    <t>246.02851670775206</t>
  </si>
  <si>
    <t>239.04152863185922</t>
  </si>
  <si>
    <t>266.7703459531549</t>
  </si>
  <si>
    <t>633.7586488164103</t>
  </si>
  <si>
    <t>12904129.10187951</t>
  </si>
  <si>
    <t>161301.61377349388</t>
  </si>
  <si>
    <t>0.4145050260912808</t>
  </si>
  <si>
    <t>267.95566049999996</t>
  </si>
  <si>
    <t>601.9712868633126</t>
  </si>
  <si>
    <t>46406.515415651535</t>
  </si>
  <si>
    <t>7.60761931445998</t>
  </si>
  <si>
    <t>0.554173558838237</t>
  </si>
  <si>
    <t>546.1170000000001</t>
  </si>
  <si>
    <t>617.5491036000001</t>
  </si>
  <si>
    <t>261.19641795800004</t>
  </si>
  <si>
    <t>198.70829141250428</t>
  </si>
  <si>
    <t>221.7584532163548</t>
  </si>
  <si>
    <t>74490.18129013038</t>
  </si>
  <si>
    <t>46569.275175436276</t>
  </si>
  <si>
    <t>13025025.798585292</t>
  </si>
  <si>
    <t>628.6500000000001</t>
  </si>
  <si>
    <t>162812.82248231617</t>
  </si>
  <si>
    <t>0.4238857943537605</t>
  </si>
  <si>
    <t>421.1955000000001</t>
  </si>
  <si>
    <t>273.14528175000004</t>
  </si>
  <si>
    <t>596.0667577312679</t>
  </si>
  <si>
    <t>121.85231581869974</t>
  </si>
  <si>
    <t>76602.45833942563</t>
  </si>
  <si>
    <t>7.992044545262154</t>
  </si>
  <si>
    <t>0.5788474179915287</t>
  </si>
  <si>
    <t>248.5481427915273</t>
  </si>
  <si>
    <t>198.64078288320647</t>
  </si>
  <si>
    <t>221.6831136976584</t>
  </si>
  <si>
    <t>124.6944373944283</t>
  </si>
  <si>
    <t>4433.662273949136</t>
  </si>
  <si>
    <t>13101752.951362113</t>
  </si>
  <si>
    <t>0.6282500000000001</t>
  </si>
  <si>
    <t>628.2500000000001</t>
  </si>
  <si>
    <t>163771.91189202643</t>
  </si>
  <si>
    <t>0.4289471606793837</t>
  </si>
  <si>
    <t>427.2100000000001</t>
  </si>
  <si>
    <t>277.04568500000005</t>
  </si>
  <si>
    <t>591.1368440624744</t>
  </si>
  <si>
    <t>84.37828913930527</t>
  </si>
  <si>
    <t>53010.660151768636</t>
  </si>
  <si>
    <t>4512.112938578295</t>
  </si>
  <si>
    <t>8.043873050400563</t>
  </si>
  <si>
    <t>1.6636000000000002</t>
  </si>
  <si>
    <t>1663.6000000000001</t>
  </si>
  <si>
    <t>0.6666750832668294</t>
  </si>
  <si>
    <t>752.4795520000001</t>
  </si>
  <si>
    <t>217.64300632055767</t>
  </si>
  <si>
    <t>175.06927131500933</t>
  </si>
  <si>
    <t>195.3773067875504</t>
  </si>
  <si>
    <t>43762.34037565574</t>
  </si>
  <si>
    <t>166070.71076942227</t>
  </si>
  <si>
    <t>13198525.951889537</t>
  </si>
  <si>
    <t>627.4499999999999</t>
  </si>
  <si>
    <t>164981.57439861924</t>
  </si>
  <si>
    <t>0.4348493992041723</t>
  </si>
  <si>
    <t>432.94049999999993</t>
  </si>
  <si>
    <t>280.76191424999996</t>
  </si>
  <si>
    <t>587.6209201641004</t>
  </si>
  <si>
    <t>48.344977893553136</t>
  </si>
  <si>
    <t>30334.056379310066</t>
  </si>
  <si>
    <t>5156.62764567288</t>
  </si>
  <si>
    <t>11.04862936108124</t>
  </si>
  <si>
    <t>0.7540749299520809</t>
  </si>
  <si>
    <t>194.43358664803813</t>
  </si>
  <si>
    <t>214.82246342198474</t>
  </si>
  <si>
    <t>44.36456239138457</t>
  </si>
  <si>
    <t>239.74186917893496</t>
  </si>
  <si>
    <t>73977.90778763332</t>
  </si>
  <si>
    <t>93499.32897978136</t>
  </si>
  <si>
    <t>13302837.91605648</t>
  </si>
  <si>
    <t>166285.47395070601</t>
  </si>
  <si>
    <t>0.4438958210979509</t>
  </si>
  <si>
    <t>574.9858935935421</t>
  </si>
  <si>
    <t>24.331942587079162</t>
  </si>
  <si>
    <t>15282.893138944504</t>
  </si>
  <si>
    <t>14.408956366034984</t>
  </si>
  <si>
    <t>0.7835555713002306</t>
  </si>
  <si>
    <t>781.8449999999999</t>
  </si>
  <si>
    <t>884.1103259999999</t>
  </si>
  <si>
    <t>188.08226650064717</t>
  </si>
  <si>
    <t>271.00691712327887</t>
  </si>
  <si>
    <t>62.70185033064422</t>
  </si>
  <si>
    <t>302.4437195095792</t>
  </si>
  <si>
    <t>104304.52802502661</t>
  </si>
  <si>
    <t>13422425.33722045</t>
  </si>
  <si>
    <t>0.6295000000000001</t>
  </si>
  <si>
    <t>629.5000000000001</t>
  </si>
  <si>
    <t>167780.31671525564</t>
  </si>
  <si>
    <t>0.4584132051488949</t>
  </si>
  <si>
    <t>459.5350000000001</t>
  </si>
  <si>
    <t>298.00844750000005</t>
  </si>
  <si>
    <t>563.0052373440038</t>
  </si>
  <si>
    <t>17.275186482242844</t>
  </si>
  <si>
    <t>10874.729890571873</t>
  </si>
  <si>
    <t>12.336470416861122</t>
  </si>
  <si>
    <t>1.6602000000000001</t>
  </si>
  <si>
    <t>0.766294547361322</t>
  </si>
  <si>
    <t>194.28396981111328</t>
  </si>
  <si>
    <t>239.67784460451384</t>
  </si>
  <si>
    <t>267.4804745786375</t>
  </si>
  <si>
    <t>58045.97923434952</t>
  </si>
  <si>
    <t>13491346.046345372</t>
  </si>
  <si>
    <t>0.3338897171115823</t>
  </si>
  <si>
    <t>168641.82557931717</t>
  </si>
  <si>
    <t>0.4638792946319174</t>
  </si>
  <si>
    <t>301.73083749999995</t>
  </si>
  <si>
    <t>558.9147830450614</t>
  </si>
  <si>
    <t>18.661589880039692</t>
  </si>
  <si>
    <t>36.73493937233418</t>
  </si>
  <si>
    <t>13.884222870749532</t>
  </si>
  <si>
    <t>23097.09313035525</t>
  </si>
  <si>
    <t>8.978706859657997</t>
  </si>
  <si>
    <t>0.7580760735676548</t>
  </si>
  <si>
    <t>864.1030816000001</t>
  </si>
  <si>
    <t>195.16401361172643</t>
  </si>
  <si>
    <t>175.2320467773995</t>
  </si>
  <si>
    <t>195.55896420357786</t>
  </si>
  <si>
    <t>119476.01303504963</t>
  </si>
  <si>
    <t>19555.896420356676</t>
  </si>
  <si>
    <t>13633919.152510777</t>
  </si>
  <si>
    <t>0.5906867976312724</t>
  </si>
  <si>
    <t>630.3499999999999</t>
  </si>
  <si>
    <t>170423.98940638473</t>
  </si>
  <si>
    <t>0.46935487638693</t>
  </si>
  <si>
    <t>466.45899999999995</t>
  </si>
  <si>
    <t>302.49866149999997</t>
  </si>
  <si>
    <t>563.3875818203736</t>
  </si>
  <si>
    <t>33.2785606530703</t>
  </si>
  <si>
    <t>10.875026255134774</t>
  </si>
  <si>
    <t>24.759249125884306</t>
  </si>
  <si>
    <t>6855.0727999242035</t>
  </si>
  <si>
    <t>3961.4798601414045</t>
  </si>
  <si>
    <t>8.200706077303836</t>
  </si>
  <si>
    <t>0.7802403475740556</t>
  </si>
  <si>
    <t>782.7379999999999</t>
  </si>
  <si>
    <t>192.5433436129934</t>
  </si>
  <si>
    <t>157.89913681114757</t>
  </si>
  <si>
    <t>176.2154366812407</t>
  </si>
  <si>
    <t>32214.7107357004</t>
  </si>
  <si>
    <t>74010.48340611889</t>
  </si>
  <si>
    <t>13672988.936046401</t>
  </si>
  <si>
    <t>1.3966390328300669</t>
  </si>
  <si>
    <t>170912.36170058002</t>
  </si>
  <si>
    <t>0.435046261894259</t>
  </si>
  <si>
    <t>434.9414999999999</t>
  </si>
  <si>
    <t>282.05956274999994</t>
  </si>
  <si>
    <t>605.9442198457427</t>
  </si>
  <si>
    <t>84.62853491543275</t>
  </si>
  <si>
    <t>38.20438085119767</t>
  </si>
  <si>
    <t>62.96362997708198</t>
  </si>
  <si>
    <t>24082.13146955245</t>
  </si>
  <si>
    <t>9.831738613634895</t>
  </si>
  <si>
    <t>0.7968724280894688</t>
  </si>
  <si>
    <t>903.5725248000001</t>
  </si>
  <si>
    <t>189.15179137215395</t>
  </si>
  <si>
    <t>185.96909710718177</t>
  </si>
  <si>
    <t>31.326075690374154</t>
  </si>
  <si>
    <t>207.54151237161486</t>
  </si>
  <si>
    <t>52148.51820176619</t>
  </si>
  <si>
    <t>13749219.585717719</t>
  </si>
  <si>
    <t>1.9060063324550809</t>
  </si>
  <si>
    <t>171865.2448214715</t>
  </si>
  <si>
    <t>0.4359830845206487</t>
  </si>
  <si>
    <t>603.909517751789</t>
  </si>
  <si>
    <t>115.10553650648039</t>
  </si>
  <si>
    <t>22.674889183739452</t>
  </si>
  <si>
    <t>85.63851916082143</t>
  </si>
  <si>
    <t>14421.229520858353</t>
  </si>
  <si>
    <t>48385.763325864515</t>
  </si>
  <si>
    <t>9.830234919912856</t>
  </si>
  <si>
    <t>0.8062516149746636</t>
  </si>
  <si>
    <t>902.9754624000001</t>
  </si>
  <si>
    <t>190.33213191051104</t>
  </si>
  <si>
    <t>187.10095694881656</t>
  </si>
  <si>
    <t>1.263155583264421</t>
  </si>
  <si>
    <t>208.80466795487928</t>
  </si>
  <si>
    <t>2101.3856283186938</t>
  </si>
  <si>
    <t>13765742.200866897</t>
  </si>
  <si>
    <t>4.176184940075094</t>
  </si>
  <si>
    <t>172071.77751083623</t>
  </si>
  <si>
    <t>0.4416170097736826</t>
  </si>
  <si>
    <t>596.9361761921341</t>
  </si>
  <si>
    <t>249.29158691996037</t>
  </si>
  <si>
    <t>99.83442150762909</t>
  </si>
  <si>
    <t>185.47294066845052</t>
  </si>
  <si>
    <t>63394.85765734427</t>
  </si>
  <si>
    <t>8.761275929345489</t>
  </si>
  <si>
    <t>1664.1999999999998</t>
  </si>
  <si>
    <t>0.8238037792152277</t>
  </si>
  <si>
    <t>832.0999999999999</t>
  </si>
  <si>
    <t>182.87246679117945</t>
  </si>
  <si>
    <t>160.2196141437593</t>
  </si>
  <si>
    <t>178.80508938443538</t>
  </si>
  <si>
    <t>49925.29865693256</t>
  </si>
  <si>
    <t>10728.305363061447</t>
  </si>
  <si>
    <t>13879062.357181173</t>
  </si>
  <si>
    <t>5.427303037058564</t>
  </si>
  <si>
    <t>173488.27946476467</t>
  </si>
  <si>
    <t>0.462607374910335</t>
  </si>
  <si>
    <t>300.58850474999997</t>
  </si>
  <si>
    <t>577.1620561772819</t>
  </si>
  <si>
    <t>313.2433380365928</t>
  </si>
  <si>
    <t>47.580102830774536</t>
  </si>
  <si>
    <t>233.05304349922505</t>
  </si>
  <si>
    <t>30210.986292400456</t>
  </si>
  <si>
    <t>8.521153046600151</t>
  </si>
  <si>
    <t>1665.1000000000001</t>
  </si>
  <si>
    <t>0.8286836951752721</t>
  </si>
  <si>
    <t>832.5500000000001</t>
  </si>
  <si>
    <t>941.4475400000001</t>
  </si>
  <si>
    <t>184.2782227300362</t>
  </si>
  <si>
    <t>157.0262939038109</t>
  </si>
  <si>
    <t>175.24134399665297</t>
  </si>
  <si>
    <t>5933.992445196465</t>
  </si>
  <si>
    <t>15771.720959699365</t>
  </si>
  <si>
    <t>13915207.33591877</t>
  </si>
  <si>
    <t>5.965686698967393</t>
  </si>
  <si>
    <t>0.6404000000000001</t>
  </si>
  <si>
    <t>640.4000000000001</t>
  </si>
  <si>
    <t>173940.09169898462</t>
  </si>
  <si>
    <t>0.5143509664176179</t>
  </si>
  <si>
    <t>523.5382344008461</t>
  </si>
  <si>
    <t>312.3265081366001</t>
  </si>
  <si>
    <t>232.37092205363052</t>
  </si>
  <si>
    <t>436.8305737587383</t>
  </si>
  <si>
    <t>126642.15251923067</t>
  </si>
  <si>
    <t>8.788555991076821</t>
  </si>
  <si>
    <t>0.7933647752764121</t>
  </si>
  <si>
    <t>192.96630098445286</t>
  </si>
  <si>
    <t>169.58951405928462</t>
  </si>
  <si>
    <t>14.020553693508674</t>
  </si>
  <si>
    <t>189.26189769016165</t>
  </si>
  <si>
    <t>23283.933518809736</t>
  </si>
  <si>
    <t>13938928.100011338</t>
  </si>
  <si>
    <t>7.855300782330004</t>
  </si>
  <si>
    <t>174236.60125014174</t>
  </si>
  <si>
    <t>0.5150406941734963</t>
  </si>
  <si>
    <t>333.81861749999996</t>
  </si>
  <si>
    <t>521.9499216521133</t>
  </si>
  <si>
    <t>410.007362789093</t>
  </si>
  <si>
    <t>72.67455586145468</t>
  </si>
  <si>
    <t>305.0454779150852</t>
  </si>
  <si>
    <t>46184.68024995447</t>
  </si>
  <si>
    <t>4.913100996742305</t>
  </si>
  <si>
    <t>1.6662000000000001</t>
  </si>
  <si>
    <t>0.7500217774501335</t>
  </si>
  <si>
    <t>749.7900000000001</t>
  </si>
  <si>
    <t>847.8625320000001</t>
  </si>
  <si>
    <t>205.50100361097418</t>
  </si>
  <si>
    <t>100.96471856726211</t>
  </si>
  <si>
    <t>112.67662592106453</t>
  </si>
  <si>
    <t>127606.37982166988</t>
  </si>
  <si>
    <t>61972.14425658677</t>
  </si>
  <si>
    <t>14112719.160082962</t>
  </si>
  <si>
    <t>6.926738422628714</t>
  </si>
  <si>
    <t>176408.98950103705</t>
  </si>
  <si>
    <t>0.5013002260668696</t>
  </si>
  <si>
    <t>541.6232161777928</t>
  </si>
  <si>
    <t>375.16823420864546</t>
  </si>
  <si>
    <t>279.12516625123226</t>
  </si>
  <si>
    <t>16478.83814029455</t>
  </si>
  <si>
    <t>6978.1291562823935</t>
  </si>
  <si>
    <t>6.591744908708441</t>
  </si>
  <si>
    <t>1.6640000000000001</t>
  </si>
  <si>
    <t>1664.0000000000002</t>
  </si>
  <si>
    <t>0.6852838827689205</t>
  </si>
  <si>
    <t>228.6639670791855</t>
  </si>
  <si>
    <t>150.72945407992955</t>
  </si>
  <si>
    <t>55.537444832136856</t>
  </si>
  <si>
    <t>168.21407075320138</t>
  </si>
  <si>
    <t>92414.3082006766</t>
  </si>
  <si>
    <t>14221612.306423934</t>
  </si>
  <si>
    <t>6.719147562275966</t>
  </si>
  <si>
    <t>177770.15383029918</t>
  </si>
  <si>
    <t>0.5081639335109787</t>
  </si>
  <si>
    <t>540.2119281750595</t>
  </si>
  <si>
    <t>362.976366030985</t>
  </si>
  <si>
    <t>270.0544163270528</t>
  </si>
  <si>
    <t>5753.576676907046</t>
  </si>
  <si>
    <t>5.642555414741684</t>
  </si>
  <si>
    <t>0.6320395557106327</t>
  </si>
  <si>
    <t>714.4688408000001</t>
  </si>
  <si>
    <t>248.81442503671346</t>
  </si>
  <si>
    <t>140.39491812567465</t>
  </si>
  <si>
    <t>156.6807286282529</t>
  </si>
  <si>
    <t>19176.487951151867</t>
  </si>
  <si>
    <t>14246542.371051993</t>
  </si>
  <si>
    <t>5.946285089092123</t>
  </si>
  <si>
    <t>178081.77963814992</t>
  </si>
  <si>
    <t>0.5076993040386663</t>
  </si>
  <si>
    <t>544.0752775316812</t>
  </si>
  <si>
    <t>323.5226710130294</t>
  </si>
  <si>
    <t>240.7008672336939</t>
  </si>
  <si>
    <t>18519.15412300025</t>
  </si>
  <si>
    <t>4.240167669858484</t>
  </si>
  <si>
    <t>0.5728656037701346</t>
  </si>
  <si>
    <t>271.5786074077259</t>
  </si>
  <si>
    <t>115.1538830955429</t>
  </si>
  <si>
    <t>128.51173353462588</t>
  </si>
  <si>
    <t>46670.391071121354</t>
  </si>
  <si>
    <t>14311731.916246114</t>
  </si>
  <si>
    <t>3.962166884417222</t>
  </si>
  <si>
    <t>178896.64895307645</t>
  </si>
  <si>
    <t>0.5184518621061679</t>
  </si>
  <si>
    <t>336.08642199999997</t>
  </si>
  <si>
    <t>532.293592488769</t>
  </si>
  <si>
    <t>210.90360449464765</t>
  </si>
  <si>
    <t>156.91228174401786</t>
  </si>
  <si>
    <t>52317.59277975384</t>
  </si>
  <si>
    <t>0.5733038751973104</t>
  </si>
  <si>
    <t>578.5849999999999</t>
  </si>
  <si>
    <t>654.2639179999999</t>
  </si>
  <si>
    <t>273.4319347763214</t>
  </si>
  <si>
    <t>262281.1458923249</t>
  </si>
  <si>
    <t>11154.925714661813</t>
  </si>
  <si>
    <t>14626330.654918194</t>
  </si>
  <si>
    <t>0.2321837633295712</t>
  </si>
  <si>
    <t>182829.13318647744</t>
  </si>
  <si>
    <t>0.5510973900513136</t>
  </si>
  <si>
    <t>511.04460469141696</t>
  </si>
  <si>
    <t>11.865625954652623</t>
  </si>
  <si>
    <t>8.828025710261553</t>
  </si>
  <si>
    <t>91790.02610252379</t>
  </si>
  <si>
    <t>1.6522000000000001</t>
  </si>
  <si>
    <t>0.5647852098951037</t>
  </si>
  <si>
    <t>635.2246384000001</t>
  </si>
  <si>
    <t>287.8180758967195</t>
  </si>
  <si>
    <t>223129.29803402812</t>
  </si>
  <si>
    <t>14867.843315304855</t>
  </si>
  <si>
    <t>14941249.979054745</t>
  </si>
  <si>
    <t>186765.62473818433</t>
  </si>
  <si>
    <t>0.5672941623661506</t>
  </si>
  <si>
    <t>367.24101049999996</t>
  </si>
  <si>
    <t>508.5641837329177</t>
  </si>
  <si>
    <t>86332.614044582</t>
  </si>
  <si>
    <t>1.6303999999999998</t>
  </si>
  <si>
    <t>1630.3999999999999</t>
  </si>
  <si>
    <t>0.785373159703639</t>
  </si>
  <si>
    <t>782.5919999999999</t>
  </si>
  <si>
    <t>884.9550335999999</t>
  </si>
  <si>
    <t>211.04532732970756</t>
  </si>
  <si>
    <t>10924.602709159772</t>
  </si>
  <si>
    <t>374739.43849846337</t>
  </si>
  <si>
    <t>15038507.195808487</t>
  </si>
  <si>
    <t>187981.3399476061</t>
  </si>
  <si>
    <t>0.5695621124934901</t>
  </si>
  <si>
    <t>568.4770000000001</t>
  </si>
  <si>
    <t>368.65733450000005</t>
  </si>
  <si>
    <t>509.90804293249744</t>
  </si>
  <si>
    <t>30693.793991154376</t>
  </si>
  <si>
    <t>1.6296000000000002</t>
  </si>
  <si>
    <t>1629.6000000000001</t>
  </si>
  <si>
    <t>0.9656129314151484</t>
  </si>
  <si>
    <t>1087.2234912000001</t>
  </si>
  <si>
    <t>172.9003663636127</t>
  </si>
  <si>
    <t>167430.24223455877</t>
  </si>
  <si>
    <t>21971.358245131032</t>
  </si>
  <si>
    <t>15236631.2320342</t>
  </si>
  <si>
    <t>190457.8904004275</t>
  </si>
  <si>
    <t>0.566897771490914</t>
  </si>
  <si>
    <t>365.92260999999996</t>
  </si>
  <si>
    <t>520.4868056675359</t>
  </si>
  <si>
    <t>0.5505912289692674</t>
  </si>
  <si>
    <t>349.0748391665157</t>
  </si>
  <si>
    <t>1.6355000000000002</t>
  </si>
  <si>
    <t>1635.5000000000002</t>
  </si>
  <si>
    <t>1.0573603926678827</t>
  </si>
  <si>
    <t>1063.0750000000003</t>
  </si>
  <si>
    <t>1202.1252100000004</t>
  </si>
  <si>
    <t>158.43432016572336</t>
  </si>
  <si>
    <t>41872.235686681975</t>
  </si>
  <si>
    <t>15278852.542560048</t>
  </si>
  <si>
    <t>190985.65678200062</t>
  </si>
  <si>
    <t>0.5627480934260759</t>
  </si>
  <si>
    <t>522.1761818073841</t>
  </si>
  <si>
    <t>139.44300212256502</t>
  </si>
  <si>
    <t>88365.03044506909</t>
  </si>
  <si>
    <t>1171.3061412189677</t>
  </si>
  <si>
    <t>1645.3999999999999</t>
  </si>
  <si>
    <t>1.082496651257061</t>
  </si>
  <si>
    <t>1228.0080911999999</t>
  </si>
  <si>
    <t>155.52475439748196</t>
  </si>
  <si>
    <t>6.659170342353036</t>
  </si>
  <si>
    <t>10956.998881307652</t>
  </si>
  <si>
    <t>15378174.571886426</t>
  </si>
  <si>
    <t>0.8012324397402036</t>
  </si>
  <si>
    <t>192227.18214858032</t>
  </si>
  <si>
    <t>0.5384249405949445</t>
  </si>
  <si>
    <t>347.79541374999997</t>
  </si>
  <si>
    <t>552.7018889523248</t>
  </si>
  <si>
    <t>44.28426829342903</t>
  </si>
  <si>
    <t>71.99103365094197</t>
  </si>
  <si>
    <t>32.9474956103112</t>
  </si>
  <si>
    <t>45422.74268206173</t>
  </si>
  <si>
    <t>1643.8999999999999</t>
  </si>
  <si>
    <t>1.1114364579150375</t>
  </si>
  <si>
    <t>152.07040119111696</t>
  </si>
  <si>
    <t>99.36015364570872</t>
  </si>
  <si>
    <t>163338.1565781808</t>
  </si>
  <si>
    <t>29133.71321567157</t>
  </si>
  <si>
    <t>15586935.47114667</t>
  </si>
  <si>
    <t>0.89486623268193</t>
  </si>
  <si>
    <t>194836.69338933338</t>
  </si>
  <si>
    <t>0.4867295621334884</t>
  </si>
  <si>
    <t>489.0210000000001</t>
  </si>
  <si>
    <t>317.13011850000004</t>
  </si>
  <si>
    <t>614.374611629117</t>
  </si>
  <si>
    <t>54.97830941639718</t>
  </si>
  <si>
    <t>7.956366595488305</t>
  </si>
  <si>
    <t>40.903862205799506</t>
  </si>
  <si>
    <t>4988.244037041399</t>
  </si>
  <si>
    <t>1.869234249510617</t>
  </si>
  <si>
    <t>1.1306484864814113</t>
  </si>
  <si>
    <t>1135.2569999999998</t>
  </si>
  <si>
    <t>1283.7486155999998</t>
  </si>
  <si>
    <t>151.7716872460037</t>
  </si>
  <si>
    <t>28.36968359062438</t>
  </si>
  <si>
    <t>225.88532165827326</t>
  </si>
  <si>
    <t>31.66056688713681</t>
  </si>
  <si>
    <t>371649.1197243551</t>
  </si>
  <si>
    <t>4432.479364199621</t>
  </si>
  <si>
    <t>15963572.834908066</t>
  </si>
  <si>
    <t>199544.66043635085</t>
  </si>
  <si>
    <t>0.4786939697287301</t>
  </si>
  <si>
    <t>479.33200000000005</t>
  </si>
  <si>
    <t>641.9389202413311</t>
  </si>
  <si>
    <t>29773.354428751263</t>
  </si>
  <si>
    <t>3.1417656011123385</t>
  </si>
  <si>
    <t>1.149577168636082</t>
  </si>
  <si>
    <t>1151.7799999999997</t>
  </si>
  <si>
    <t>1302.4328239999998</t>
  </si>
  <si>
    <t>153.20917651899634</t>
  </si>
  <si>
    <t>48.13473205621309</t>
  </si>
  <si>
    <t>22.057794087597003</t>
  </si>
  <si>
    <t>53.71836097473381</t>
  </si>
  <si>
    <t>36293.894391732</t>
  </si>
  <si>
    <t>537.1836097468496</t>
  </si>
  <si>
    <t>16029640.08372855</t>
  </si>
  <si>
    <t>0.3748064513420834</t>
  </si>
  <si>
    <t>200370.5010466069</t>
  </si>
  <si>
    <t>0.4780156029405792</t>
  </si>
  <si>
    <t>480.28200000000004</t>
  </si>
  <si>
    <t>643.3206518111207</t>
  </si>
  <si>
    <t>24.112073058040217</t>
  </si>
  <si>
    <t>24.242360848211323</t>
  </si>
  <si>
    <t>17.939382355181923</t>
  </si>
  <si>
    <t>15319.959938027227</t>
  </si>
  <si>
    <t>2242.4227943977403</t>
  </si>
  <si>
    <t>3.794005341519187</t>
  </si>
  <si>
    <t>1.1693997035442274</t>
  </si>
  <si>
    <t>1320.4769996000002</t>
  </si>
  <si>
    <t>151.74100049247602</t>
  </si>
  <si>
    <t>57.57061663959196</t>
  </si>
  <si>
    <t>10.530447195050826</t>
  </si>
  <si>
    <t>64.24880816978464</t>
  </si>
  <si>
    <t>17319.426501700094</t>
  </si>
  <si>
    <t>16062279.470168278</t>
  </si>
  <si>
    <t>0.990609842378154</t>
  </si>
  <si>
    <t>200778.49337710347</t>
  </si>
  <si>
    <t>0.4765730968641057</t>
  </si>
  <si>
    <t>478.11600000000004</t>
  </si>
  <si>
    <t>647.5509325048628</t>
  </si>
  <si>
    <t>64.14703271804687</t>
  </si>
  <si>
    <t>29.78600998704496</t>
  </si>
  <si>
    <t>47.72539234222688</t>
  </si>
  <si>
    <t>18738.378882850015</t>
  </si>
  <si>
    <t>3.844513471464116</t>
  </si>
  <si>
    <t>1.1859682401520188</t>
  </si>
  <si>
    <t>1181.7359999999999</t>
  </si>
  <si>
    <t>1336.3070687999998</t>
  </si>
  <si>
    <t>150.24876996078606</t>
  </si>
  <si>
    <t>57.7633420185155</t>
  </si>
  <si>
    <t>0.21508152287866267</t>
  </si>
  <si>
    <t>64.4638896926633</t>
  </si>
  <si>
    <t>353.01330350074926</t>
  </si>
  <si>
    <t>16081370.862354629</t>
  </si>
  <si>
    <t>0.6193778519020393</t>
  </si>
  <si>
    <t>201017.13577943287</t>
  </si>
  <si>
    <t>0.4737604000490503</t>
  </si>
  <si>
    <t>474.63750000000005</t>
  </si>
  <si>
    <t>653.0719823313048</t>
  </si>
  <si>
    <t>40.44983215537701</t>
  </si>
  <si>
    <t>30.094675123600496</t>
  </si>
  <si>
    <t>11157.599391807667</t>
  </si>
  <si>
    <t>11285.503171350187</t>
  </si>
  <si>
    <t>2.4919418606498613</t>
  </si>
  <si>
    <t>1641.3999999999999</t>
  </si>
  <si>
    <t>1.1779820315476877</t>
  </si>
  <si>
    <t>1181.8079999999998</t>
  </si>
  <si>
    <t>1336.3884863999997</t>
  </si>
  <si>
    <t>150.41818889126947</t>
  </si>
  <si>
    <t>37.483338150129235</t>
  </si>
  <si>
    <t>41.83140537554423</t>
  </si>
  <si>
    <t>37148.959758119345</t>
  </si>
  <si>
    <t>418.3140537550618</t>
  </si>
  <si>
    <t>16129677.421504555</t>
  </si>
  <si>
    <t>1.5320653264787671</t>
  </si>
  <si>
    <t>201620.96776880696</t>
  </si>
  <si>
    <t>0.5006308520136895</t>
  </si>
  <si>
    <t>323.50357649999995</t>
  </si>
  <si>
    <t>623.2418508325425</t>
  </si>
  <si>
    <t>95.48472296709903</t>
  </si>
  <si>
    <t>40.9459587639212</t>
  </si>
  <si>
    <t>71.0406338875217</t>
  </si>
  <si>
    <t>26186.987927465794</t>
  </si>
  <si>
    <t>47597.22470463966</t>
  </si>
  <si>
    <t>2.1487277020544986</t>
  </si>
  <si>
    <t>1.1746223506511224</t>
  </si>
  <si>
    <t>150.7506320268845</t>
  </si>
  <si>
    <t>32.39220591383908</t>
  </si>
  <si>
    <t>36.14970179984441</t>
  </si>
  <si>
    <t>9333.334463802043</t>
  </si>
  <si>
    <t>4699.461233980636</t>
  </si>
  <si>
    <t>16165197.743895823</t>
  </si>
  <si>
    <t>10.078985516897797</t>
  </si>
  <si>
    <t>202064.9717986978</t>
  </si>
  <si>
    <t>0.5095811188168268</t>
  </si>
  <si>
    <t>509.20000000000005</t>
  </si>
  <si>
    <t>611.9171978803518</t>
  </si>
  <si>
    <t>616.7504574976749</t>
  </si>
  <si>
    <t>387.8217064907485</t>
  </si>
  <si>
    <t>458.8623403782702</t>
  </si>
  <si>
    <t>246848.51618136067</t>
  </si>
  <si>
    <t>2.7428859363183933</t>
  </si>
  <si>
    <t>1.1885407018619316</t>
  </si>
  <si>
    <t>151.3682634880761</t>
  </si>
  <si>
    <t>41.518588112638085</t>
  </si>
  <si>
    <t>10.185042533859693</t>
  </si>
  <si>
    <t>46.3347443337041</t>
  </si>
  <si>
    <t>16699.39573851637</t>
  </si>
  <si>
    <t>16428745.6558157</t>
  </si>
  <si>
    <t>4.6141488974668405</t>
  </si>
  <si>
    <t>205359.32069769627</t>
  </si>
  <si>
    <t>0.5142206886683943</t>
  </si>
  <si>
    <t>515.3625000000001</t>
  </si>
  <si>
    <t>614.4571815029368</t>
  </si>
  <si>
    <t>283.51969265723585</t>
  </si>
  <si>
    <t>210.93865133698353</t>
  </si>
  <si>
    <t>157741.44715251963</t>
  </si>
  <si>
    <t>1.6306303968358111</t>
  </si>
  <si>
    <t>1.183152850078584</t>
  </si>
  <si>
    <t>153.5644697854298</t>
  </si>
  <si>
    <t>25.040689230609633</t>
  </si>
  <si>
    <t>27.94540918136035</t>
  </si>
  <si>
    <t>30204.48298772484</t>
  </si>
  <si>
    <t>8104.168662594279</t>
  </si>
  <si>
    <t>16616691.585955944</t>
  </si>
  <si>
    <t>5.043527922352518</t>
  </si>
  <si>
    <t>630.5500000000001</t>
  </si>
  <si>
    <t>207708.64482444932</t>
  </si>
  <si>
    <t>0.5139866243278426</t>
  </si>
  <si>
    <t>619.4570634249313</t>
  </si>
  <si>
    <t>312.4248996082136</t>
  </si>
  <si>
    <t>21.505473971527408</t>
  </si>
  <si>
    <t>232.44412530851093</t>
  </si>
  <si>
    <t>13560.276612746597</t>
  </si>
  <si>
    <t>2.7677979759753155</t>
  </si>
  <si>
    <t>1.1430004374375244</t>
  </si>
  <si>
    <t>161.4844579982881</t>
  </si>
  <si>
    <t>44.69563559991327</t>
  </si>
  <si>
    <t>21.934920148142854</t>
  </si>
  <si>
    <t>49.880329329503205</t>
  </si>
  <si>
    <t>36159.71586421377</t>
  </si>
  <si>
    <t>29928.19759770164</t>
  </si>
  <si>
    <t>16666411.578432905</t>
  </si>
  <si>
    <t>3.0636569687798185</t>
  </si>
  <si>
    <t>208330.14473041132</t>
  </si>
  <si>
    <t>0.5192131065255713</t>
  </si>
  <si>
    <t>616.3664312438863</t>
  </si>
  <si>
    <t>188.8335312402279</t>
  </si>
  <si>
    <t>140.49214724272957</t>
  </si>
  <si>
    <t>57741.244626407264</t>
  </si>
  <si>
    <t>6.205059542373225</t>
  </si>
  <si>
    <t>1.6574000000000002</t>
  </si>
  <si>
    <t>1657.4000000000003</t>
  </si>
  <si>
    <t>1.1127530423753915</t>
  </si>
  <si>
    <t>1110.4580000000003</t>
  </si>
  <si>
    <t>1255.7059064000005</t>
  </si>
  <si>
    <t>165.90679686111832</t>
  </si>
  <si>
    <t>102.94615530076585</t>
  </si>
  <si>
    <t>65.00757998615148</t>
  </si>
  <si>
    <t>114.8879093156547</t>
  </si>
  <si>
    <t>107743.56306904717</t>
  </si>
  <si>
    <t>102250.23929093438</t>
  </si>
  <si>
    <t>16831896.38612836</t>
  </si>
  <si>
    <t>1.2509313007726597</t>
  </si>
  <si>
    <t>628.8000000000001</t>
  </si>
  <si>
    <t>210398.7048266045</t>
  </si>
  <si>
    <t>0.5149080014798224</t>
  </si>
  <si>
    <t>334.37697599999996</t>
  </si>
  <si>
    <t>629.2260530121084</t>
  </si>
  <si>
    <t>78.71185649744834</t>
  </si>
  <si>
    <t>58.561621234101565</t>
  </si>
  <si>
    <t>51517.914754225145</t>
  </si>
  <si>
    <t>4977.737804898683</t>
  </si>
  <si>
    <t>11.302001266212407</t>
  </si>
  <si>
    <t>1656.6000000000001</t>
  </si>
  <si>
    <t>1.0847423657174728</t>
  </si>
  <si>
    <t>1076.7900000000002</t>
  </si>
  <si>
    <t>1217.6341320000001</t>
  </si>
  <si>
    <t>172.7930412734229</t>
  </si>
  <si>
    <t>195.2907171264918</t>
  </si>
  <si>
    <t>103.05653099751018</t>
  </si>
  <si>
    <t>217.94444031316488</t>
  </si>
  <si>
    <t>170723.4492504751</t>
  </si>
  <si>
    <t>17054137.75013306</t>
  </si>
  <si>
    <t>0.4010100601479952</t>
  </si>
  <si>
    <t>213176.72187666327</t>
  </si>
  <si>
    <t>0.5102085357850767</t>
  </si>
  <si>
    <t>643.8689366614285</t>
  </si>
  <si>
    <t>25.819792101802513</t>
  </si>
  <si>
    <t>19.20992532374107</t>
  </si>
  <si>
    <t>24803.373932300146</t>
  </si>
  <si>
    <t>2881.4887985611335</t>
  </si>
  <si>
    <t>17078941.124065362</t>
  </si>
  <si>
    <t>0.4713379768609955</t>
  </si>
  <si>
    <t>213486.76405081703</t>
  </si>
  <si>
    <t>0.5062141345201266</t>
  </si>
  <si>
    <t>326.40301999999997</t>
  </si>
  <si>
    <t>654.0587891950787</t>
  </si>
  <si>
    <t>30.828274644736076</t>
  </si>
  <si>
    <t>3.726311011942574</t>
  </si>
  <si>
    <t>22.936236335683645</t>
  </si>
  <si>
    <t>2344.4085731636806</t>
  </si>
  <si>
    <t>17081285.532638527</t>
  </si>
  <si>
    <t>213516.0691579816</t>
  </si>
  <si>
    <t>0.4676566582312025</t>
  </si>
  <si>
    <t>705.7853847415039</t>
  </si>
  <si>
    <t>16102.21064142966</t>
  </si>
  <si>
    <t>17097387.743279956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</si>
</sst>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A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2" borderId="0" xfId="0" applyNumberFormat="1" applyFill="1" applyAlignment="1">
      <alignment horizontal="left" vertical="center"/>
    </xf>
    <xf numFmtId="176" fontId="0" fillId="2" borderId="0" xfId="0" applyNumberFormat="1" applyFill="1">
      <alignment vertical="center"/>
    </xf>
    <xf numFmtId="176" fontId="0" fillId="0" borderId="0" xfId="0" applyNumberFormat="1" applyAlignment="1">
      <alignment horizontal="center" vertical="center"/>
    </xf>
    <xf numFmtId="58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  <xf numFmtId="176" fontId="0" fillId="2" borderId="0" xfId="0" applyNumberFormat="1" applyFill="1" quotePrefix="1">
      <alignment vertical="center"/>
    </xf>
    <xf numFmtId="176" fontId="0" fillId="2" borderId="0" xfId="0" applyNumberFormat="1" applyFill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585"/>
  <sheetViews>
    <sheetView tabSelected="1" zoomScaleSheetLayoutView="60" topLeftCell="AF1" workbookViewId="0">
      <selection activeCell="AI1" sqref="AI1"/>
    </sheetView>
  </sheetViews>
  <sheetFormatPr defaultColWidth="10.2857142857143" defaultRowHeight="15"/>
  <cols>
    <col min="12" max="12" width="27.2857142857143" style="1" customWidth="1"/>
    <col min="25" max="25" width="31.8571428571429" customWidth="1"/>
    <col min="26" max="26" width="20.2857142857143" customWidth="1"/>
    <col min="27" max="27" width="27" style="2" customWidth="1"/>
    <col min="28" max="28" width="22.5714285714286" customWidth="1"/>
    <col min="29" max="29" width="20.2857142857143" customWidth="1"/>
    <col min="32" max="32" width="20.2857142857143" customWidth="1"/>
    <col min="33" max="33" width="6.57142857142857" style="3" customWidth="1"/>
    <col min="34" max="37" width="20.2857142857143" customWidth="1"/>
    <col min="38" max="38" width="27.2857142857143" style="1" customWidth="1"/>
    <col min="39" max="39" width="14" customWidth="1"/>
    <col min="41" max="46" width="12.2857142857143" customWidth="1"/>
    <col min="49" max="49" width="14" customWidth="1"/>
    <col min="51" max="56" width="12.2857142857143" customWidth="1"/>
    <col min="59" max="59" width="14"/>
    <col min="60" max="62" width="12.2857142857143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2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H1" s="5" t="s">
        <v>13</v>
      </c>
      <c r="AK1" t="s">
        <v>25</v>
      </c>
      <c r="AL1" s="1" t="s">
        <v>11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U1" t="s">
        <v>39</v>
      </c>
      <c r="AV1" t="s">
        <v>40</v>
      </c>
      <c r="AW1" t="s">
        <v>32</v>
      </c>
      <c r="AX1" t="s">
        <v>33</v>
      </c>
      <c r="AY1" t="s">
        <v>34</v>
      </c>
      <c r="AZ1" t="s">
        <v>35</v>
      </c>
      <c r="BA1" t="s">
        <v>36</v>
      </c>
      <c r="BB1" t="s">
        <v>37</v>
      </c>
      <c r="BC1" t="s">
        <v>38</v>
      </c>
      <c r="BE1" t="s">
        <v>39</v>
      </c>
      <c r="BF1" t="s">
        <v>40</v>
      </c>
      <c r="BG1" t="s">
        <v>41</v>
      </c>
      <c r="BH1" t="s">
        <v>37</v>
      </c>
      <c r="BI1" t="s">
        <v>38</v>
      </c>
    </row>
    <row r="2" spans="1:62">
      <c r="A2" s="4">
        <v>45642</v>
      </c>
      <c r="C2">
        <v>0.637</v>
      </c>
      <c r="D2">
        <v>637</v>
      </c>
      <c r="E2">
        <v>0.88</v>
      </c>
      <c r="F2">
        <v>125000</v>
      </c>
      <c r="G2" s="7" t="s">
        <v>42</v>
      </c>
      <c r="H2" s="7" t="s">
        <v>43</v>
      </c>
      <c r="I2">
        <v>363.52316</v>
      </c>
      <c r="J2" s="7" t="s">
        <v>44</v>
      </c>
      <c r="O2">
        <v>0</v>
      </c>
      <c r="P2" s="7" t="s">
        <v>45</v>
      </c>
      <c r="Q2">
        <v>1.6314</v>
      </c>
      <c r="R2" s="7" t="s">
        <v>46</v>
      </c>
      <c r="S2">
        <v>0.75</v>
      </c>
      <c r="T2">
        <v>125000</v>
      </c>
      <c r="U2" s="7" t="s">
        <v>47</v>
      </c>
      <c r="V2">
        <v>1223.55</v>
      </c>
      <c r="W2">
        <v>1383.59034</v>
      </c>
      <c r="X2" s="7" t="s">
        <v>48</v>
      </c>
      <c r="Y2" s="7" t="s">
        <v>49</v>
      </c>
      <c r="Z2">
        <v>0</v>
      </c>
      <c r="AA2" s="8" t="s">
        <v>50</v>
      </c>
      <c r="AB2" s="7" t="s">
        <v>50</v>
      </c>
      <c r="AC2">
        <v>0</v>
      </c>
      <c r="AD2" s="7" t="s">
        <v>51</v>
      </c>
      <c r="AE2">
        <v>0</v>
      </c>
      <c r="AF2" s="7" t="s">
        <v>52</v>
      </c>
      <c r="AG2" s="3">
        <f t="shared" ref="AG2:AG7" si="0">AM2-AN2</f>
        <v>68.285</v>
      </c>
      <c r="AK2">
        <v>0</v>
      </c>
      <c r="AM2">
        <v>68.285</v>
      </c>
      <c r="AN2">
        <f>IF(L2&gt;0,AM2*1.001,IF(L2&lt;0,AM2*0.99,0))</f>
        <v>0</v>
      </c>
      <c r="AO2">
        <f>IF(AN2&lt;&gt;0,(AM2-AN2)*$AU$2/$AV$2*L2,0)</f>
        <v>0</v>
      </c>
      <c r="AQ2">
        <f>AN2+AO2</f>
        <v>0</v>
      </c>
      <c r="AR2">
        <v>10000000</v>
      </c>
      <c r="AS2">
        <f>AR2*0.2/16</f>
        <v>125000</v>
      </c>
      <c r="AT2">
        <f>AS2/AR2</f>
        <v>0.0125</v>
      </c>
      <c r="AU2">
        <v>5</v>
      </c>
      <c r="AV2">
        <v>0.005</v>
      </c>
      <c r="AW2">
        <v>164.47</v>
      </c>
      <c r="AX2">
        <f t="shared" ref="AX2:AX65" si="1">IF(V2&gt;0,AW2*1.01,IF(V2&lt;0,AW2*0.99,0))</f>
        <v>166.1147</v>
      </c>
      <c r="AY2">
        <f>IF(AX2&lt;&gt;0,(AW2-AX2)*$BE$2/$BF$2*AA2,0)</f>
        <v>-139371.566042398</v>
      </c>
      <c r="BA2">
        <f>AX2+AY2</f>
        <v>-139205.451342398</v>
      </c>
      <c r="BB2">
        <v>10000000</v>
      </c>
      <c r="BC2">
        <f t="shared" ref="BC2:BC65" si="2">BB2*0.2/16</f>
        <v>125000</v>
      </c>
      <c r="BD2">
        <f t="shared" ref="BD2:BD65" si="3">BC2/BB2</f>
        <v>0.0125</v>
      </c>
      <c r="BE2">
        <v>10</v>
      </c>
      <c r="BF2">
        <v>0.01</v>
      </c>
      <c r="BG2">
        <f>AY2+AO2</f>
        <v>-139371.566042398</v>
      </c>
      <c r="BH2">
        <v>10000000</v>
      </c>
      <c r="BI2">
        <f t="shared" ref="BI2:BI65" si="4">BH2*0.2/16</f>
        <v>125000</v>
      </c>
      <c r="BJ2">
        <f t="shared" ref="BJ2:BJ65" si="5">BI2/BH2</f>
        <v>0.0125</v>
      </c>
    </row>
    <row r="3" spans="1:62">
      <c r="A3" s="4">
        <v>45643</v>
      </c>
      <c r="B3">
        <v>-9.23270451575712</v>
      </c>
      <c r="C3">
        <v>0.6336</v>
      </c>
      <c r="D3">
        <v>633.6</v>
      </c>
      <c r="E3">
        <v>0.93</v>
      </c>
      <c r="F3" s="7" t="s">
        <v>53</v>
      </c>
      <c r="G3" s="7" t="s">
        <v>54</v>
      </c>
      <c r="H3">
        <v>589.248</v>
      </c>
      <c r="I3" s="7" t="s">
        <v>55</v>
      </c>
      <c r="J3" s="7" t="s">
        <v>56</v>
      </c>
      <c r="K3">
        <v>-306.191840924379</v>
      </c>
      <c r="M3">
        <v>-227.806729647738</v>
      </c>
      <c r="O3" s="7" t="s">
        <v>57</v>
      </c>
      <c r="P3" s="7" t="s">
        <v>58</v>
      </c>
      <c r="Q3">
        <v>1.6334</v>
      </c>
      <c r="R3" s="7" t="s">
        <v>59</v>
      </c>
      <c r="S3">
        <v>0.74</v>
      </c>
      <c r="T3" s="7" t="s">
        <v>53</v>
      </c>
      <c r="U3" s="7" t="s">
        <v>60</v>
      </c>
      <c r="V3">
        <v>1208.716</v>
      </c>
      <c r="W3" s="7" t="s">
        <v>61</v>
      </c>
      <c r="X3" s="7" t="s">
        <v>62</v>
      </c>
      <c r="Y3" s="7" t="s">
        <v>63</v>
      </c>
      <c r="AA3" s="2">
        <v>-1.76363995512198</v>
      </c>
      <c r="AB3" s="7" t="s">
        <v>64</v>
      </c>
      <c r="AC3" s="7" t="s">
        <v>50</v>
      </c>
      <c r="AD3" s="7" t="s">
        <v>65</v>
      </c>
      <c r="AE3" s="7" t="s">
        <v>66</v>
      </c>
      <c r="AF3" s="7" t="s">
        <v>67</v>
      </c>
      <c r="AG3" s="3">
        <f t="shared" si="0"/>
        <v>67.54</v>
      </c>
      <c r="AI3">
        <f t="shared" ref="AI3:AI8" si="6">AM3-AM2</f>
        <v>-0.74499999999999</v>
      </c>
      <c r="AJ3">
        <f>AI3*$AU$2/$AV$2*AK2</f>
        <v>0</v>
      </c>
      <c r="AM3">
        <v>67.54</v>
      </c>
      <c r="AN3">
        <f>IF(L3&gt;0,AM3*1.01,IF(L3&lt;0,AM3*0.99,0))</f>
        <v>0</v>
      </c>
      <c r="AO3">
        <f>IF(AN3&lt;&gt;0,(AM3-AN3)*$AU$2/$AV$2*L3,0)</f>
        <v>0</v>
      </c>
      <c r="AP3">
        <f>(AM3-AM2)*$AU$2/$AV$2*Z2</f>
        <v>0</v>
      </c>
      <c r="AQ3">
        <f>AN3+AO3</f>
        <v>0</v>
      </c>
      <c r="AR3">
        <f>AQ3+AR2</f>
        <v>10000000</v>
      </c>
      <c r="AS3">
        <f t="shared" ref="AS3:AS66" si="7">AR3*0.2/16</f>
        <v>125000</v>
      </c>
      <c r="AT3">
        <f t="shared" ref="AT3:AT66" si="8">AS3/AR3</f>
        <v>0.0125</v>
      </c>
      <c r="AW3">
        <v>163.21</v>
      </c>
      <c r="AX3">
        <f t="shared" si="1"/>
        <v>164.8421</v>
      </c>
      <c r="AY3">
        <f t="shared" ref="AY3:AY66" si="9">IF(AX3&lt;&gt;0,(AW3-AX3)*$BE$2/$BF$2*AA3,0)</f>
        <v>2878.4367707546</v>
      </c>
      <c r="AZ3">
        <f>(AW3-AW2)*$BE$2/$BF$2*AC2</f>
        <v>0</v>
      </c>
      <c r="BA3">
        <f>AX3+AY3</f>
        <v>3043.2788707546</v>
      </c>
      <c r="BB3">
        <f>BA3+BB2</f>
        <v>10003043.2788708</v>
      </c>
      <c r="BC3">
        <f t="shared" si="2"/>
        <v>125038.040985884</v>
      </c>
      <c r="BD3">
        <f t="shared" si="3"/>
        <v>0.0125</v>
      </c>
      <c r="BG3">
        <f t="shared" ref="BG3:BG66" si="10">AY3+AO3</f>
        <v>2878.4367707546</v>
      </c>
      <c r="BH3">
        <f t="shared" ref="BH3:BH66" si="11">BG3+BH2</f>
        <v>10002878.4367708</v>
      </c>
      <c r="BI3">
        <f t="shared" si="4"/>
        <v>125035.980459634</v>
      </c>
      <c r="BJ3">
        <f t="shared" si="5"/>
        <v>0.0125</v>
      </c>
    </row>
    <row r="4" spans="1:62">
      <c r="A4" s="4">
        <v>45644</v>
      </c>
      <c r="B4">
        <v>-13.4263690678625</v>
      </c>
      <c r="C4">
        <v>0.6241</v>
      </c>
      <c r="D4">
        <v>624.1</v>
      </c>
      <c r="E4">
        <v>1.15</v>
      </c>
      <c r="F4" s="7" t="s">
        <v>68</v>
      </c>
      <c r="G4" s="7" t="s">
        <v>69</v>
      </c>
      <c r="H4" s="7" t="s">
        <v>70</v>
      </c>
      <c r="I4" s="7" t="s">
        <v>71</v>
      </c>
      <c r="J4" s="7" t="s">
        <v>72</v>
      </c>
      <c r="K4">
        <v>-365.672867615666</v>
      </c>
      <c r="L4" s="1">
        <v>-44.2538838583178</v>
      </c>
      <c r="M4">
        <v>-272.060613506056</v>
      </c>
      <c r="N4" s="7" t="s">
        <v>73</v>
      </c>
      <c r="O4" s="7" t="s">
        <v>74</v>
      </c>
      <c r="P4" s="7" t="s">
        <v>75</v>
      </c>
      <c r="Q4">
        <v>1.6338</v>
      </c>
      <c r="R4">
        <v>1633.8</v>
      </c>
      <c r="S4">
        <v>0.72</v>
      </c>
      <c r="T4" s="7" t="s">
        <v>68</v>
      </c>
      <c r="U4" s="7" t="s">
        <v>76</v>
      </c>
      <c r="V4">
        <v>1176.336</v>
      </c>
      <c r="W4" s="7" t="s">
        <v>77</v>
      </c>
      <c r="X4" s="7" t="s">
        <v>78</v>
      </c>
      <c r="Y4" s="7" t="s">
        <v>79</v>
      </c>
      <c r="Z4">
        <v>-227.806729647738</v>
      </c>
      <c r="AA4" s="8" t="s">
        <v>80</v>
      </c>
      <c r="AB4" s="7" t="s">
        <v>81</v>
      </c>
      <c r="AC4" s="7" t="s">
        <v>64</v>
      </c>
      <c r="AD4" s="7" t="s">
        <v>82</v>
      </c>
      <c r="AE4" s="7" t="s">
        <v>83</v>
      </c>
      <c r="AF4" s="7" t="s">
        <v>84</v>
      </c>
      <c r="AG4" s="3">
        <f t="shared" si="0"/>
        <v>0.685849999999988</v>
      </c>
      <c r="AH4" s="6">
        <f>AG4*$AU$2/$AV$2*AL4</f>
        <v>-30351.5262442267</v>
      </c>
      <c r="AI4">
        <f t="shared" si="6"/>
        <v>1.04499999999999</v>
      </c>
      <c r="AJ4">
        <f>AI4*$AU$2/$AV$2*AK3</f>
        <v>0</v>
      </c>
      <c r="AK4">
        <v>-227.806729647738</v>
      </c>
      <c r="AL4" s="1">
        <v>-44.2538838583178</v>
      </c>
      <c r="AM4">
        <v>68.585</v>
      </c>
      <c r="AN4">
        <f>IF(L4&gt;0,AM4*1.01,IF(L4&lt;0,AM4*0.99,0))</f>
        <v>67.89915</v>
      </c>
      <c r="AO4">
        <f>IF(AN4&lt;&gt;0,(AM4-AN4)*$AU$2/$AV$2*L4,0)</f>
        <v>-30351.5262442274</v>
      </c>
      <c r="AP4">
        <f>(AM4-AM3)*$AU$2/$AV$2*Z3</f>
        <v>0</v>
      </c>
      <c r="AQ4">
        <f>AO4+AP4</f>
        <v>-30351.5262442274</v>
      </c>
      <c r="AR4">
        <f>AQ4+AR3</f>
        <v>9969648.47375577</v>
      </c>
      <c r="AS4">
        <f t="shared" si="7"/>
        <v>124620.605921947</v>
      </c>
      <c r="AT4">
        <f t="shared" si="8"/>
        <v>0.0125</v>
      </c>
      <c r="AW4">
        <v>163.19</v>
      </c>
      <c r="AX4">
        <f t="shared" si="1"/>
        <v>164.8219</v>
      </c>
      <c r="AY4">
        <f t="shared" si="9"/>
        <v>-16619.6942065534</v>
      </c>
      <c r="AZ4">
        <f t="shared" ref="AZ4:AZ67" si="12">(AW4-AW3)*$BE$2/$BF$2*AC3</f>
        <v>-1694.79620651146</v>
      </c>
      <c r="BA4">
        <f t="shared" ref="BA4:BA67" si="13">AY4+AZ4</f>
        <v>-18314.4904130649</v>
      </c>
      <c r="BB4">
        <f t="shared" ref="BB3:BB66" si="14">BA4+BB3</f>
        <v>9984728.78845769</v>
      </c>
      <c r="BC4">
        <f t="shared" si="2"/>
        <v>124809.109855721</v>
      </c>
      <c r="BD4">
        <f t="shared" si="3"/>
        <v>0.0125</v>
      </c>
      <c r="BG4">
        <f t="shared" si="10"/>
        <v>-46971.2204507808</v>
      </c>
      <c r="BH4">
        <f t="shared" si="11"/>
        <v>9955907.21631997</v>
      </c>
      <c r="BI4">
        <f t="shared" si="4"/>
        <v>124448.840204</v>
      </c>
      <c r="BJ4">
        <f t="shared" si="5"/>
        <v>0.0125</v>
      </c>
    </row>
    <row r="5" spans="1:62">
      <c r="A5" s="4">
        <v>45645</v>
      </c>
      <c r="B5">
        <v>-14.4710322789984</v>
      </c>
      <c r="C5" s="7" t="s">
        <v>85</v>
      </c>
      <c r="D5">
        <v>624.35</v>
      </c>
      <c r="E5">
        <v>1.31</v>
      </c>
      <c r="F5" s="7" t="s">
        <v>86</v>
      </c>
      <c r="G5" s="7" t="s">
        <v>87</v>
      </c>
      <c r="H5">
        <v>817.8985</v>
      </c>
      <c r="I5">
        <v>530.40717725</v>
      </c>
      <c r="J5" s="7" t="s">
        <v>88</v>
      </c>
      <c r="K5">
        <v>-347.358158621299</v>
      </c>
      <c r="L5" s="9" t="s">
        <v>89</v>
      </c>
      <c r="M5">
        <v>-258.434470014246</v>
      </c>
      <c r="N5" s="7" t="s">
        <v>90</v>
      </c>
      <c r="O5">
        <v>-6460.86175035763</v>
      </c>
      <c r="P5" s="7" t="s">
        <v>91</v>
      </c>
      <c r="Q5" s="7" t="s">
        <v>92</v>
      </c>
      <c r="R5" s="7" t="s">
        <v>93</v>
      </c>
      <c r="S5">
        <v>0.72</v>
      </c>
      <c r="T5" s="7" t="s">
        <v>86</v>
      </c>
      <c r="U5" s="7" t="s">
        <v>94</v>
      </c>
      <c r="V5">
        <v>1177.632</v>
      </c>
      <c r="W5">
        <v>1331.6662656</v>
      </c>
      <c r="X5" s="7" t="s">
        <v>95</v>
      </c>
      <c r="Y5" s="7" t="s">
        <v>96</v>
      </c>
      <c r="Z5">
        <v>-272.060613506056</v>
      </c>
      <c r="AA5" s="8" t="s">
        <v>97</v>
      </c>
      <c r="AB5" s="7" t="s">
        <v>98</v>
      </c>
      <c r="AC5" s="7" t="s">
        <v>81</v>
      </c>
      <c r="AD5" s="7" t="s">
        <v>99</v>
      </c>
      <c r="AE5" s="7" t="s">
        <v>100</v>
      </c>
      <c r="AF5" s="7" t="s">
        <v>101</v>
      </c>
      <c r="AG5" s="3">
        <f t="shared" si="0"/>
        <v>-0.677550000000011</v>
      </c>
      <c r="AH5" s="6">
        <f>AG5*$AU$2/$AV$2*AL5</f>
        <v>-9232.39352287554</v>
      </c>
      <c r="AI5">
        <f t="shared" si="6"/>
        <v>-0.829999999999998</v>
      </c>
      <c r="AJ5">
        <f>AI5*$AU$2/$AV$2*AK4</f>
        <v>189079.585607622</v>
      </c>
      <c r="AK5">
        <v>-272.060613506056</v>
      </c>
      <c r="AL5" s="9" t="s">
        <v>89</v>
      </c>
      <c r="AM5">
        <v>67.755</v>
      </c>
      <c r="AN5">
        <f t="shared" ref="AN3:AN66" si="15">IF(L5&gt;0,AM5*1.01,IF(L5&lt;0,AM5*0.99,0))</f>
        <v>68.43255</v>
      </c>
      <c r="AO5">
        <f t="shared" ref="AO4:AO67" si="16">IF(AN5&lt;&gt;0,(AM5-AN5)*$AU$2/$AV$2*L5,0)</f>
        <v>-9232.39352287534</v>
      </c>
      <c r="AP5">
        <f t="shared" ref="AP4:AP67" si="17">(AM5-AM4)*$AU$2/$AV$2*Z4</f>
        <v>189079.585607622</v>
      </c>
      <c r="AQ5">
        <f t="shared" ref="AQ5:AQ68" si="18">AO5+AP5</f>
        <v>179847.192084747</v>
      </c>
      <c r="AR5">
        <f t="shared" ref="AR4:AR67" si="19">AQ5+AR4</f>
        <v>10149495.6658405</v>
      </c>
      <c r="AS5">
        <f t="shared" si="7"/>
        <v>126868.695823007</v>
      </c>
      <c r="AT5">
        <f t="shared" si="8"/>
        <v>0.0125</v>
      </c>
      <c r="AW5">
        <v>163.54</v>
      </c>
      <c r="AX5">
        <f t="shared" si="1"/>
        <v>165.1754</v>
      </c>
      <c r="AY5">
        <f t="shared" si="9"/>
        <v>-5238.94968575583</v>
      </c>
      <c r="AZ5">
        <f t="shared" si="12"/>
        <v>29041.6596296421</v>
      </c>
      <c r="BA5">
        <f t="shared" si="13"/>
        <v>23802.7099438863</v>
      </c>
      <c r="BB5">
        <f t="shared" si="14"/>
        <v>10008531.4984016</v>
      </c>
      <c r="BC5">
        <f t="shared" si="2"/>
        <v>125106.64373002</v>
      </c>
      <c r="BD5">
        <f t="shared" si="3"/>
        <v>0.0125</v>
      </c>
      <c r="BG5">
        <f t="shared" si="10"/>
        <v>-14471.3432086312</v>
      </c>
      <c r="BH5">
        <f t="shared" si="11"/>
        <v>9941435.87311134</v>
      </c>
      <c r="BI5">
        <f t="shared" si="4"/>
        <v>124267.948413892</v>
      </c>
      <c r="BJ5">
        <f t="shared" si="5"/>
        <v>0.0125</v>
      </c>
    </row>
    <row r="6" spans="1:62">
      <c r="A6" s="4">
        <v>45646</v>
      </c>
      <c r="B6">
        <v>-16.0826211780284</v>
      </c>
      <c r="C6">
        <v>0.62675</v>
      </c>
      <c r="D6">
        <v>626.75</v>
      </c>
      <c r="E6">
        <v>1.4</v>
      </c>
      <c r="F6" s="7" t="s">
        <v>102</v>
      </c>
      <c r="G6" s="7" t="s">
        <v>103</v>
      </c>
      <c r="H6" s="7" t="s">
        <v>104</v>
      </c>
      <c r="I6" s="7" t="s">
        <v>105</v>
      </c>
      <c r="J6" s="7" t="s">
        <v>106</v>
      </c>
      <c r="K6">
        <v>-360.32767840636</v>
      </c>
      <c r="L6" s="1">
        <v>-9.64932272008576</v>
      </c>
      <c r="M6">
        <v>-268.083792734332</v>
      </c>
      <c r="N6" s="7" t="s">
        <v>107</v>
      </c>
      <c r="O6">
        <v>-64340.1102562384</v>
      </c>
      <c r="P6" s="7" t="s">
        <v>108</v>
      </c>
      <c r="Q6" s="7" t="s">
        <v>109</v>
      </c>
      <c r="R6" s="7" t="s">
        <v>110</v>
      </c>
      <c r="S6">
        <v>0.71</v>
      </c>
      <c r="T6" s="7" t="s">
        <v>102</v>
      </c>
      <c r="U6" s="7" t="s">
        <v>111</v>
      </c>
      <c r="V6">
        <v>1159.856</v>
      </c>
      <c r="W6">
        <v>1311.5651648</v>
      </c>
      <c r="X6" s="7" t="s">
        <v>112</v>
      </c>
      <c r="Y6" s="7" t="s">
        <v>113</v>
      </c>
      <c r="Z6">
        <v>-258.434470014246</v>
      </c>
      <c r="AA6" s="8" t="s">
        <v>114</v>
      </c>
      <c r="AB6" s="7" t="s">
        <v>115</v>
      </c>
      <c r="AC6" s="7" t="s">
        <v>98</v>
      </c>
      <c r="AD6" s="7" t="s">
        <v>116</v>
      </c>
      <c r="AE6">
        <v>-21566.9036985182</v>
      </c>
      <c r="AF6" s="7" t="s">
        <v>117</v>
      </c>
      <c r="AG6" s="3">
        <f t="shared" si="0"/>
        <v>0.689999999999998</v>
      </c>
      <c r="AH6" s="6">
        <f>AG6*$AU$2/$AV$2*AL6</f>
        <v>-6658.03267685915</v>
      </c>
      <c r="AI6">
        <f t="shared" si="6"/>
        <v>1.245</v>
      </c>
      <c r="AJ6">
        <f>AI6*$AU$2/$AV$2*AK5</f>
        <v>-338715.463815041</v>
      </c>
      <c r="AK6">
        <v>-258.434470014246</v>
      </c>
      <c r="AL6" s="1">
        <v>-9.64932272008576</v>
      </c>
      <c r="AM6">
        <v>69</v>
      </c>
      <c r="AN6">
        <f t="shared" si="15"/>
        <v>68.31</v>
      </c>
      <c r="AO6">
        <f t="shared" si="16"/>
        <v>-6658.03267685915</v>
      </c>
      <c r="AP6">
        <f t="shared" si="17"/>
        <v>-338715.463815041</v>
      </c>
      <c r="AQ6">
        <f t="shared" si="18"/>
        <v>-345373.4964919</v>
      </c>
      <c r="AR6">
        <f t="shared" si="19"/>
        <v>9804122.16934862</v>
      </c>
      <c r="AS6">
        <f t="shared" si="7"/>
        <v>122551.527116858</v>
      </c>
      <c r="AT6">
        <f t="shared" si="8"/>
        <v>0.0125</v>
      </c>
      <c r="AW6">
        <v>162.84</v>
      </c>
      <c r="AX6">
        <f t="shared" si="1"/>
        <v>164.4684</v>
      </c>
      <c r="AY6">
        <f t="shared" si="9"/>
        <v>-18678.7593684823</v>
      </c>
      <c r="AZ6">
        <f t="shared" si="12"/>
        <v>-65212.3013933532</v>
      </c>
      <c r="BA6">
        <f t="shared" si="13"/>
        <v>-83891.0607618355</v>
      </c>
      <c r="BB6">
        <f t="shared" si="14"/>
        <v>9924640.43763974</v>
      </c>
      <c r="BC6">
        <f t="shared" si="2"/>
        <v>124058.005470497</v>
      </c>
      <c r="BD6">
        <f t="shared" si="3"/>
        <v>0.0125</v>
      </c>
      <c r="BG6">
        <f t="shared" si="10"/>
        <v>-25336.7920453414</v>
      </c>
      <c r="BH6">
        <f t="shared" si="11"/>
        <v>9916099.081066</v>
      </c>
      <c r="BI6">
        <f t="shared" si="4"/>
        <v>123951.238513325</v>
      </c>
      <c r="BJ6">
        <f t="shared" si="5"/>
        <v>0.0125</v>
      </c>
    </row>
    <row r="7" spans="1:62">
      <c r="A7" s="4">
        <v>45649</v>
      </c>
      <c r="B7">
        <v>-16.2224131397589</v>
      </c>
      <c r="C7">
        <v>0.6249</v>
      </c>
      <c r="D7">
        <v>624.9</v>
      </c>
      <c r="E7">
        <v>1.48</v>
      </c>
      <c r="F7" s="7" t="s">
        <v>118</v>
      </c>
      <c r="G7" s="7" t="s">
        <v>119</v>
      </c>
      <c r="H7">
        <v>924.852</v>
      </c>
      <c r="I7" s="7" t="s">
        <v>120</v>
      </c>
      <c r="J7" s="7" t="s">
        <v>121</v>
      </c>
      <c r="K7">
        <v>-345.669082722038</v>
      </c>
      <c r="L7" s="9" t="s">
        <v>122</v>
      </c>
      <c r="M7">
        <v>-257.177797545196</v>
      </c>
      <c r="N7" s="7" t="s">
        <v>123</v>
      </c>
      <c r="O7" s="7" t="s">
        <v>124</v>
      </c>
      <c r="P7" s="7" t="s">
        <v>125</v>
      </c>
      <c r="Q7" s="7" t="s">
        <v>109</v>
      </c>
      <c r="R7" s="7" t="s">
        <v>110</v>
      </c>
      <c r="S7">
        <v>0.69</v>
      </c>
      <c r="T7" s="7" t="s">
        <v>118</v>
      </c>
      <c r="U7" s="7" t="s">
        <v>126</v>
      </c>
      <c r="V7">
        <v>1127.184</v>
      </c>
      <c r="W7">
        <v>1274.6196672</v>
      </c>
      <c r="X7" s="7" t="s">
        <v>127</v>
      </c>
      <c r="Y7" s="7" t="s">
        <v>128</v>
      </c>
      <c r="Z7">
        <v>-268.083792734332</v>
      </c>
      <c r="AA7" s="2">
        <v>-12.596721242839</v>
      </c>
      <c r="AB7" s="7" t="s">
        <v>129</v>
      </c>
      <c r="AC7" s="7" t="s">
        <v>115</v>
      </c>
      <c r="AD7" s="7" t="s">
        <v>130</v>
      </c>
      <c r="AE7">
        <v>0</v>
      </c>
      <c r="AF7" s="7" t="s">
        <v>131</v>
      </c>
      <c r="AG7" s="3">
        <f t="shared" si="0"/>
        <v>-0.6952</v>
      </c>
      <c r="AH7" s="6">
        <f>AG7*$AU$2/$AV$2*AL7</f>
        <v>-7581.84785548707</v>
      </c>
      <c r="AI7">
        <f t="shared" si="6"/>
        <v>0.519999999999996</v>
      </c>
      <c r="AJ7">
        <f>AI7*$AU$2/$AV$2*AK6</f>
        <v>-134385.924407407</v>
      </c>
      <c r="AK7">
        <v>-268.083792734332</v>
      </c>
      <c r="AL7" s="9" t="s">
        <v>122</v>
      </c>
      <c r="AM7">
        <v>69.52</v>
      </c>
      <c r="AN7">
        <f t="shared" si="15"/>
        <v>70.2152</v>
      </c>
      <c r="AO7">
        <f t="shared" si="16"/>
        <v>-7581.84785548707</v>
      </c>
      <c r="AP7">
        <f t="shared" si="17"/>
        <v>-134385.924407407</v>
      </c>
      <c r="AQ7">
        <f t="shared" si="18"/>
        <v>-141967.772262894</v>
      </c>
      <c r="AR7">
        <f t="shared" si="19"/>
        <v>9662154.39708573</v>
      </c>
      <c r="AS7">
        <f t="shared" si="7"/>
        <v>120776.929963572</v>
      </c>
      <c r="AT7">
        <f t="shared" si="8"/>
        <v>0.0125</v>
      </c>
      <c r="AW7">
        <v>162.95</v>
      </c>
      <c r="AX7">
        <f t="shared" si="1"/>
        <v>164.5795</v>
      </c>
      <c r="AY7">
        <f t="shared" si="9"/>
        <v>20526.3572652062</v>
      </c>
      <c r="AZ7">
        <f t="shared" si="12"/>
        <v>10600.028715262</v>
      </c>
      <c r="BA7">
        <f t="shared" si="13"/>
        <v>31126.3859804683</v>
      </c>
      <c r="BB7">
        <f t="shared" si="14"/>
        <v>9955766.82362021</v>
      </c>
      <c r="BC7">
        <f t="shared" si="2"/>
        <v>124447.085295253</v>
      </c>
      <c r="BD7">
        <f t="shared" si="3"/>
        <v>0.0125</v>
      </c>
      <c r="BG7">
        <f t="shared" si="10"/>
        <v>12944.5094097192</v>
      </c>
      <c r="BH7">
        <f t="shared" si="11"/>
        <v>9929043.59047572</v>
      </c>
      <c r="BI7">
        <f t="shared" si="4"/>
        <v>124113.044880947</v>
      </c>
      <c r="BJ7">
        <f t="shared" si="5"/>
        <v>0.0125</v>
      </c>
    </row>
    <row r="8" spans="1:62">
      <c r="A8" s="4">
        <v>45650</v>
      </c>
      <c r="B8">
        <v>-16.6285634639602</v>
      </c>
      <c r="C8">
        <v>0.6249</v>
      </c>
      <c r="D8">
        <v>624.9</v>
      </c>
      <c r="E8">
        <v>1.52</v>
      </c>
      <c r="F8" s="7" t="s">
        <v>132</v>
      </c>
      <c r="G8" s="7" t="s">
        <v>133</v>
      </c>
      <c r="H8">
        <v>949.848</v>
      </c>
      <c r="I8" s="7" t="s">
        <v>134</v>
      </c>
      <c r="J8" s="7" t="s">
        <v>135</v>
      </c>
      <c r="K8">
        <v>-345.923445478275</v>
      </c>
      <c r="L8" s="1">
        <v>-0.189245890639881</v>
      </c>
      <c r="M8">
        <v>-257.367043435836</v>
      </c>
      <c r="N8" s="7" t="s">
        <v>136</v>
      </c>
      <c r="O8">
        <v>0</v>
      </c>
      <c r="P8" s="7" t="s">
        <v>137</v>
      </c>
      <c r="Q8" s="7" t="s">
        <v>109</v>
      </c>
      <c r="R8" s="7" t="s">
        <v>110</v>
      </c>
      <c r="S8">
        <v>0.67</v>
      </c>
      <c r="T8" s="7" t="s">
        <v>132</v>
      </c>
      <c r="U8" s="7" t="s">
        <v>138</v>
      </c>
      <c r="V8" s="7" t="s">
        <v>139</v>
      </c>
      <c r="W8" s="7" t="s">
        <v>140</v>
      </c>
      <c r="X8" s="7" t="s">
        <v>141</v>
      </c>
      <c r="Y8" s="7" t="s">
        <v>142</v>
      </c>
      <c r="Z8">
        <v>-257.177797545196</v>
      </c>
      <c r="AA8" s="2">
        <v>-5.41393423872689</v>
      </c>
      <c r="AB8" s="7" t="s">
        <v>143</v>
      </c>
      <c r="AC8" s="7" t="s">
        <v>129</v>
      </c>
      <c r="AD8" s="7" t="s">
        <v>144</v>
      </c>
      <c r="AE8">
        <v>0</v>
      </c>
      <c r="AF8" s="7" t="s">
        <v>145</v>
      </c>
      <c r="AH8" s="6">
        <f>AG8*$AU$2/$AV$2*AL8</f>
        <v>0</v>
      </c>
      <c r="AI8">
        <f t="shared" si="6"/>
        <v>-0.409999999999997</v>
      </c>
      <c r="AK8">
        <v>-257.177797545196</v>
      </c>
      <c r="AL8" s="1">
        <v>-0.189245890639881</v>
      </c>
      <c r="AM8">
        <v>69.11</v>
      </c>
      <c r="AN8">
        <f t="shared" si="15"/>
        <v>68.4189</v>
      </c>
      <c r="AO8">
        <f t="shared" si="16"/>
        <v>-130.787835021223</v>
      </c>
      <c r="AP8">
        <f t="shared" si="17"/>
        <v>109914.355021075</v>
      </c>
      <c r="AQ8">
        <f t="shared" si="18"/>
        <v>109783.567186054</v>
      </c>
      <c r="AR8">
        <f t="shared" si="19"/>
        <v>9771937.96427178</v>
      </c>
      <c r="AS8">
        <f t="shared" si="7"/>
        <v>122149.224553397</v>
      </c>
      <c r="AT8">
        <f t="shared" si="8"/>
        <v>0.0125</v>
      </c>
      <c r="AW8">
        <v>163.12</v>
      </c>
      <c r="AX8">
        <f t="shared" si="1"/>
        <v>164.7512</v>
      </c>
      <c r="AY8">
        <f t="shared" si="9"/>
        <v>8831.20953021134</v>
      </c>
      <c r="AZ8">
        <f t="shared" si="12"/>
        <v>18331.8681437432</v>
      </c>
      <c r="BA8">
        <f t="shared" si="13"/>
        <v>27163.0776739545</v>
      </c>
      <c r="BB8">
        <f t="shared" si="14"/>
        <v>9982929.90129416</v>
      </c>
      <c r="BC8">
        <f t="shared" si="2"/>
        <v>124786.623766177</v>
      </c>
      <c r="BD8">
        <f t="shared" si="3"/>
        <v>0.0125</v>
      </c>
      <c r="BG8">
        <f t="shared" si="10"/>
        <v>8700.42169519012</v>
      </c>
      <c r="BH8">
        <f t="shared" si="11"/>
        <v>9937744.01217091</v>
      </c>
      <c r="BI8">
        <f t="shared" si="4"/>
        <v>124221.800152136</v>
      </c>
      <c r="BJ8">
        <f t="shared" si="5"/>
        <v>0.0125</v>
      </c>
    </row>
    <row r="9" spans="1:62">
      <c r="A9" s="4">
        <v>45651</v>
      </c>
      <c r="B9">
        <v>-16.9030838797774</v>
      </c>
      <c r="C9">
        <v>0.6229</v>
      </c>
      <c r="D9">
        <v>622.9</v>
      </c>
      <c r="E9">
        <v>1.59</v>
      </c>
      <c r="F9" s="7" t="s">
        <v>146</v>
      </c>
      <c r="G9" s="7" t="s">
        <v>147</v>
      </c>
      <c r="H9" s="7" t="s">
        <v>148</v>
      </c>
      <c r="I9">
        <v>642.2815335</v>
      </c>
      <c r="J9" s="7" t="s">
        <v>149</v>
      </c>
      <c r="K9">
        <v>-337.527681800117</v>
      </c>
      <c r="L9" s="9" t="s">
        <v>150</v>
      </c>
      <c r="M9">
        <v>-251.120595259287</v>
      </c>
      <c r="N9" s="7" t="s">
        <v>151</v>
      </c>
      <c r="O9" s="7" t="s">
        <v>152</v>
      </c>
      <c r="P9" s="7" t="s">
        <v>153</v>
      </c>
      <c r="Q9" s="7" t="s">
        <v>109</v>
      </c>
      <c r="R9" s="7" t="s">
        <v>110</v>
      </c>
      <c r="S9">
        <v>0.63</v>
      </c>
      <c r="T9" s="7" t="s">
        <v>146</v>
      </c>
      <c r="U9" s="7" t="s">
        <v>154</v>
      </c>
      <c r="V9" s="7" t="s">
        <v>155</v>
      </c>
      <c r="W9" s="7" t="s">
        <v>156</v>
      </c>
      <c r="X9" s="7" t="s">
        <v>157</v>
      </c>
      <c r="Y9" s="7" t="s">
        <v>158</v>
      </c>
      <c r="Z9">
        <v>-257.367043435836</v>
      </c>
      <c r="AA9" s="2">
        <v>-0.591242648301317</v>
      </c>
      <c r="AB9" s="7" t="s">
        <v>159</v>
      </c>
      <c r="AC9" s="7" t="s">
        <v>143</v>
      </c>
      <c r="AD9" s="7" t="s">
        <v>160</v>
      </c>
      <c r="AE9">
        <v>0</v>
      </c>
      <c r="AF9" s="7" t="s">
        <v>161</v>
      </c>
      <c r="AK9">
        <v>-257.367043435836</v>
      </c>
      <c r="AL9" s="9" t="s">
        <v>150</v>
      </c>
      <c r="AM9">
        <v>69.285</v>
      </c>
      <c r="AN9">
        <f t="shared" si="15"/>
        <v>69.97785</v>
      </c>
      <c r="AO9">
        <f t="shared" si="16"/>
        <v>-4327.85161912233</v>
      </c>
      <c r="AP9">
        <f t="shared" si="17"/>
        <v>-45006.1145704086</v>
      </c>
      <c r="AQ9">
        <f t="shared" si="18"/>
        <v>-49333.9661895309</v>
      </c>
      <c r="AR9">
        <f t="shared" si="19"/>
        <v>9722603.99808225</v>
      </c>
      <c r="AS9">
        <f t="shared" si="7"/>
        <v>121532.549976028</v>
      </c>
      <c r="AT9">
        <f t="shared" si="8"/>
        <v>0.0125</v>
      </c>
      <c r="AW9">
        <v>163.48</v>
      </c>
      <c r="AX9">
        <f t="shared" si="1"/>
        <v>165.1148</v>
      </c>
      <c r="AY9">
        <f t="shared" si="9"/>
        <v>966.563481443001</v>
      </c>
      <c r="AZ9">
        <f t="shared" si="12"/>
        <v>34285.6070099117</v>
      </c>
      <c r="BA9">
        <f t="shared" si="13"/>
        <v>35252.1704913547</v>
      </c>
      <c r="BB9">
        <f t="shared" si="14"/>
        <v>10018182.0717855</v>
      </c>
      <c r="BC9">
        <f t="shared" si="2"/>
        <v>125227.275897319</v>
      </c>
      <c r="BD9">
        <f t="shared" si="3"/>
        <v>0.0125</v>
      </c>
      <c r="BG9">
        <f t="shared" si="10"/>
        <v>-3361.28813767933</v>
      </c>
      <c r="BH9">
        <f t="shared" si="11"/>
        <v>9934382.72403323</v>
      </c>
      <c r="BI9">
        <f t="shared" si="4"/>
        <v>124179.784050415</v>
      </c>
      <c r="BJ9">
        <f t="shared" si="5"/>
        <v>0.0125</v>
      </c>
    </row>
    <row r="10" spans="1:62">
      <c r="A10" s="4">
        <v>45652</v>
      </c>
      <c r="B10">
        <v>-17.4334424586381</v>
      </c>
      <c r="C10" s="7" t="s">
        <v>162</v>
      </c>
      <c r="D10" s="7" t="s">
        <v>163</v>
      </c>
      <c r="E10">
        <v>1.62</v>
      </c>
      <c r="F10" s="7" t="s">
        <v>164</v>
      </c>
      <c r="G10" s="7" t="s">
        <v>165</v>
      </c>
      <c r="H10" s="7" t="s">
        <v>166</v>
      </c>
      <c r="I10" s="7" t="s">
        <v>167</v>
      </c>
      <c r="J10" s="7" t="s">
        <v>168</v>
      </c>
      <c r="K10">
        <v>-342.190277120732</v>
      </c>
      <c r="L10" s="1">
        <v>-3.46897091853801</v>
      </c>
      <c r="M10">
        <v>-254.589566177825</v>
      </c>
      <c r="N10" s="7" t="s">
        <v>169</v>
      </c>
      <c r="O10" s="7" t="s">
        <v>170</v>
      </c>
      <c r="P10" s="7" t="s">
        <v>171</v>
      </c>
      <c r="Q10">
        <v>1.6373</v>
      </c>
      <c r="R10">
        <v>1637.3</v>
      </c>
      <c r="S10">
        <v>0.59</v>
      </c>
      <c r="T10" s="7" t="s">
        <v>164</v>
      </c>
      <c r="U10" s="7" t="s">
        <v>172</v>
      </c>
      <c r="V10">
        <v>966.007</v>
      </c>
      <c r="W10">
        <v>1092.3607156</v>
      </c>
      <c r="X10" s="7" t="s">
        <v>173</v>
      </c>
      <c r="Y10" s="7" t="s">
        <v>174</v>
      </c>
      <c r="Z10">
        <v>-251.120595259287</v>
      </c>
      <c r="AA10" s="8" t="s">
        <v>175</v>
      </c>
      <c r="AB10" s="7" t="s">
        <v>176</v>
      </c>
      <c r="AC10" s="7" t="s">
        <v>159</v>
      </c>
      <c r="AD10" s="7" t="s">
        <v>177</v>
      </c>
      <c r="AE10" s="7" t="s">
        <v>178</v>
      </c>
      <c r="AF10" s="7" t="s">
        <v>179</v>
      </c>
      <c r="AK10">
        <v>-251.120595259287</v>
      </c>
      <c r="AL10" s="1">
        <v>-3.46897091853801</v>
      </c>
      <c r="AM10">
        <v>69.88</v>
      </c>
      <c r="AN10">
        <f t="shared" si="15"/>
        <v>69.1812</v>
      </c>
      <c r="AO10">
        <f t="shared" si="16"/>
        <v>-2424.11687787438</v>
      </c>
      <c r="AP10">
        <f t="shared" si="17"/>
        <v>-153133.390844322</v>
      </c>
      <c r="AQ10">
        <f t="shared" si="18"/>
        <v>-155557.507722197</v>
      </c>
      <c r="AR10">
        <f t="shared" si="19"/>
        <v>9567046.49036005</v>
      </c>
      <c r="AS10">
        <f t="shared" si="7"/>
        <v>119588.081129501</v>
      </c>
      <c r="AT10">
        <f t="shared" si="8"/>
        <v>0.0125</v>
      </c>
      <c r="AW10">
        <v>163.89</v>
      </c>
      <c r="AX10">
        <f t="shared" si="1"/>
        <v>165.5289</v>
      </c>
      <c r="AY10">
        <f t="shared" si="9"/>
        <v>-538.506894063845</v>
      </c>
      <c r="AZ10">
        <f t="shared" si="12"/>
        <v>36827.7838345226</v>
      </c>
      <c r="BA10">
        <f t="shared" si="13"/>
        <v>36289.2769404588</v>
      </c>
      <c r="BB10">
        <f t="shared" si="14"/>
        <v>10054471.348726</v>
      </c>
      <c r="BC10">
        <f t="shared" si="2"/>
        <v>125680.891859075</v>
      </c>
      <c r="BD10">
        <f t="shared" si="3"/>
        <v>0.0125</v>
      </c>
      <c r="BG10">
        <f t="shared" si="10"/>
        <v>-2962.62377193823</v>
      </c>
      <c r="BH10">
        <f t="shared" si="11"/>
        <v>9931420.10026129</v>
      </c>
      <c r="BI10">
        <f t="shared" si="4"/>
        <v>124142.751253266</v>
      </c>
      <c r="BJ10">
        <f t="shared" si="5"/>
        <v>0.0125</v>
      </c>
    </row>
    <row r="11" spans="1:62">
      <c r="A11" s="4">
        <v>45653</v>
      </c>
      <c r="B11">
        <v>-17.9074202074647</v>
      </c>
      <c r="C11">
        <v>0.62195</v>
      </c>
      <c r="D11">
        <v>621.95</v>
      </c>
      <c r="E11">
        <v>1.65</v>
      </c>
      <c r="F11" s="7" t="s">
        <v>180</v>
      </c>
      <c r="G11" s="7" t="s">
        <v>181</v>
      </c>
      <c r="H11">
        <v>1026.2175</v>
      </c>
      <c r="I11">
        <v>665.50204875</v>
      </c>
      <c r="J11" s="7" t="s">
        <v>182</v>
      </c>
      <c r="K11">
        <v>-345.360059836505</v>
      </c>
      <c r="L11" s="1">
        <v>-2.3583183405345</v>
      </c>
      <c r="M11">
        <v>-256.947884518359</v>
      </c>
      <c r="N11" s="7" t="s">
        <v>183</v>
      </c>
      <c r="O11" s="7" t="s">
        <v>184</v>
      </c>
      <c r="P11" s="7" t="s">
        <v>185</v>
      </c>
      <c r="Q11">
        <v>1.6354</v>
      </c>
      <c r="R11" s="7" t="s">
        <v>186</v>
      </c>
      <c r="S11">
        <v>0.56</v>
      </c>
      <c r="T11" s="7" t="s">
        <v>180</v>
      </c>
      <c r="U11" s="7" t="s">
        <v>187</v>
      </c>
      <c r="V11">
        <v>915.824</v>
      </c>
      <c r="W11">
        <v>1035.6137792</v>
      </c>
      <c r="X11" s="7" t="s">
        <v>188</v>
      </c>
      <c r="Y11" s="7" t="s">
        <v>189</v>
      </c>
      <c r="Z11">
        <v>-254.589566177825</v>
      </c>
      <c r="AA11" s="8" t="s">
        <v>190</v>
      </c>
      <c r="AB11" s="7" t="s">
        <v>191</v>
      </c>
      <c r="AC11" s="7" t="s">
        <v>176</v>
      </c>
      <c r="AD11" s="7" t="s">
        <v>192</v>
      </c>
      <c r="AE11">
        <v>-22912.0389912642</v>
      </c>
      <c r="AF11" s="7" t="s">
        <v>193</v>
      </c>
      <c r="AH11">
        <v>100</v>
      </c>
      <c r="AK11">
        <v>-254.589566177825</v>
      </c>
      <c r="AL11" s="1">
        <v>-2.3583183405345</v>
      </c>
      <c r="AM11">
        <v>69.88</v>
      </c>
      <c r="AN11">
        <f t="shared" si="15"/>
        <v>69.1812</v>
      </c>
      <c r="AO11">
        <f t="shared" si="16"/>
        <v>-1647.99285636552</v>
      </c>
      <c r="AP11">
        <f t="shared" si="17"/>
        <v>0</v>
      </c>
      <c r="AQ11">
        <f t="shared" si="18"/>
        <v>-1647.99285636552</v>
      </c>
      <c r="AR11">
        <f t="shared" si="19"/>
        <v>9565398.49750369</v>
      </c>
      <c r="AS11">
        <f t="shared" si="7"/>
        <v>119567.481218796</v>
      </c>
      <c r="AT11">
        <f t="shared" si="8"/>
        <v>0.0125</v>
      </c>
      <c r="AW11">
        <v>163.41</v>
      </c>
      <c r="AX11">
        <f t="shared" si="1"/>
        <v>165.0441</v>
      </c>
      <c r="AY11">
        <f t="shared" si="9"/>
        <v>-50703.6396395638</v>
      </c>
      <c r="AZ11">
        <f t="shared" si="12"/>
        <v>-42831.6577741096</v>
      </c>
      <c r="BA11">
        <f t="shared" si="13"/>
        <v>-93535.2974136735</v>
      </c>
      <c r="BB11">
        <f t="shared" si="14"/>
        <v>9960936.05131231</v>
      </c>
      <c r="BC11">
        <f t="shared" si="2"/>
        <v>124511.700641404</v>
      </c>
      <c r="BD11">
        <f t="shared" si="3"/>
        <v>0.0125</v>
      </c>
      <c r="BG11">
        <f t="shared" si="10"/>
        <v>-52351.6324959293</v>
      </c>
      <c r="BH11">
        <f t="shared" si="11"/>
        <v>9879068.46776536</v>
      </c>
      <c r="BI11">
        <f t="shared" si="4"/>
        <v>123488.355847067</v>
      </c>
      <c r="BJ11">
        <f t="shared" si="5"/>
        <v>0.0125</v>
      </c>
    </row>
    <row r="12" spans="1:62">
      <c r="A12" s="4">
        <v>45656</v>
      </c>
      <c r="B12">
        <v>-18.1627820187989</v>
      </c>
      <c r="C12">
        <v>0.62245</v>
      </c>
      <c r="D12" s="7" t="s">
        <v>194</v>
      </c>
      <c r="E12">
        <v>1.64</v>
      </c>
      <c r="F12" s="7" t="s">
        <v>195</v>
      </c>
      <c r="G12" s="7" t="s">
        <v>196</v>
      </c>
      <c r="H12" s="7" t="s">
        <v>197</v>
      </c>
      <c r="I12" s="7" t="s">
        <v>198</v>
      </c>
      <c r="J12" s="7" t="s">
        <v>199</v>
      </c>
      <c r="K12">
        <v>-353.928305505324</v>
      </c>
      <c r="L12" s="1">
        <v>-6.37477477760148</v>
      </c>
      <c r="M12">
        <v>-263.322659295961</v>
      </c>
      <c r="N12" s="7" t="s">
        <v>200</v>
      </c>
      <c r="O12">
        <v>-13166.1329647973</v>
      </c>
      <c r="P12" s="7" t="s">
        <v>201</v>
      </c>
      <c r="Q12">
        <v>1.6354</v>
      </c>
      <c r="R12" s="7" t="s">
        <v>186</v>
      </c>
      <c r="S12">
        <v>0.5</v>
      </c>
      <c r="T12" s="7" t="s">
        <v>195</v>
      </c>
      <c r="U12" s="7" t="s">
        <v>202</v>
      </c>
      <c r="V12" s="7" t="s">
        <v>203</v>
      </c>
      <c r="W12" s="7" t="s">
        <v>204</v>
      </c>
      <c r="X12" s="7" t="s">
        <v>205</v>
      </c>
      <c r="Y12" s="7" t="s">
        <v>206</v>
      </c>
      <c r="Z12">
        <v>-256.947884518359</v>
      </c>
      <c r="AA12" s="8" t="s">
        <v>207</v>
      </c>
      <c r="AB12" s="7" t="s">
        <v>208</v>
      </c>
      <c r="AC12" s="7" t="s">
        <v>191</v>
      </c>
      <c r="AD12" s="7" t="s">
        <v>209</v>
      </c>
      <c r="AE12">
        <v>0</v>
      </c>
      <c r="AF12" s="7" t="s">
        <v>210</v>
      </c>
      <c r="AK12">
        <v>-256.947884518359</v>
      </c>
      <c r="AL12" s="1">
        <v>-6.37477477760148</v>
      </c>
      <c r="AM12">
        <v>69.93</v>
      </c>
      <c r="AN12">
        <f t="shared" si="15"/>
        <v>69.2307</v>
      </c>
      <c r="AO12">
        <f t="shared" si="16"/>
        <v>-4457.88000197667</v>
      </c>
      <c r="AP12">
        <f t="shared" si="17"/>
        <v>-12729.4783088941</v>
      </c>
      <c r="AQ12">
        <f t="shared" si="18"/>
        <v>-17187.3583108708</v>
      </c>
      <c r="AR12">
        <f t="shared" si="19"/>
        <v>9548211.13919282</v>
      </c>
      <c r="AS12">
        <f t="shared" si="7"/>
        <v>119352.63923991</v>
      </c>
      <c r="AT12">
        <f t="shared" si="8"/>
        <v>0.0125</v>
      </c>
      <c r="AW12">
        <v>163.58</v>
      </c>
      <c r="AX12">
        <f t="shared" si="1"/>
        <v>165.2158</v>
      </c>
      <c r="AY12">
        <f t="shared" si="9"/>
        <v>-460.671491490415</v>
      </c>
      <c r="AZ12">
        <f t="shared" si="12"/>
        <v>15225.40376418</v>
      </c>
      <c r="BA12">
        <f t="shared" si="13"/>
        <v>14764.7322726896</v>
      </c>
      <c r="BB12">
        <f t="shared" si="14"/>
        <v>9975700.783585</v>
      </c>
      <c r="BC12">
        <f t="shared" si="2"/>
        <v>124696.259794812</v>
      </c>
      <c r="BD12">
        <f t="shared" si="3"/>
        <v>0.0125</v>
      </c>
      <c r="BG12">
        <f t="shared" si="10"/>
        <v>-4918.55149346709</v>
      </c>
      <c r="BH12">
        <f t="shared" si="11"/>
        <v>9874149.9162719</v>
      </c>
      <c r="BI12">
        <f t="shared" si="4"/>
        <v>123426.873953399</v>
      </c>
      <c r="BJ12">
        <f t="shared" si="5"/>
        <v>0.0125</v>
      </c>
    </row>
    <row r="13" spans="1:62">
      <c r="A13" s="4">
        <v>45657</v>
      </c>
      <c r="B13">
        <v>-18.01106759435</v>
      </c>
      <c r="C13">
        <v>0.62245</v>
      </c>
      <c r="D13" s="7" t="s">
        <v>194</v>
      </c>
      <c r="E13">
        <v>1.66</v>
      </c>
      <c r="F13" s="7" t="s">
        <v>211</v>
      </c>
      <c r="G13" s="7" t="s">
        <v>212</v>
      </c>
      <c r="H13" s="7" t="s">
        <v>213</v>
      </c>
      <c r="I13" s="7" t="s">
        <v>214</v>
      </c>
      <c r="J13" s="7" t="s">
        <v>215</v>
      </c>
      <c r="K13">
        <v>-346.892145780257</v>
      </c>
      <c r="L13" s="9" t="s">
        <v>216</v>
      </c>
      <c r="M13">
        <v>-258.087756460511</v>
      </c>
      <c r="N13" s="7" t="s">
        <v>217</v>
      </c>
      <c r="O13">
        <v>0</v>
      </c>
      <c r="P13" s="7" t="s">
        <v>218</v>
      </c>
      <c r="Q13">
        <v>1.6354</v>
      </c>
      <c r="R13" s="7" t="s">
        <v>186</v>
      </c>
      <c r="S13">
        <v>0.45</v>
      </c>
      <c r="T13" s="7" t="s">
        <v>211</v>
      </c>
      <c r="U13" s="7" t="s">
        <v>219</v>
      </c>
      <c r="V13">
        <v>735.93</v>
      </c>
      <c r="W13" s="7" t="s">
        <v>220</v>
      </c>
      <c r="X13" s="7" t="s">
        <v>221</v>
      </c>
      <c r="Y13" s="7" t="s">
        <v>222</v>
      </c>
      <c r="Z13">
        <v>-263.322659295961</v>
      </c>
      <c r="AA13" s="8" t="s">
        <v>223</v>
      </c>
      <c r="AB13" s="7" t="s">
        <v>224</v>
      </c>
      <c r="AC13" s="7" t="s">
        <v>208</v>
      </c>
      <c r="AD13" s="7" t="s">
        <v>225</v>
      </c>
      <c r="AE13">
        <v>0</v>
      </c>
      <c r="AF13" s="7" t="s">
        <v>226</v>
      </c>
      <c r="AK13">
        <v>-263.322659295961</v>
      </c>
      <c r="AL13" s="9" t="s">
        <v>216</v>
      </c>
      <c r="AM13">
        <v>70.04</v>
      </c>
      <c r="AN13">
        <f t="shared" si="15"/>
        <v>70.7404</v>
      </c>
      <c r="AO13">
        <f t="shared" si="16"/>
        <v>-3666.52594594914</v>
      </c>
      <c r="AP13">
        <f t="shared" si="17"/>
        <v>-28264.2672970193</v>
      </c>
      <c r="AQ13">
        <f t="shared" si="18"/>
        <v>-31930.7932429685</v>
      </c>
      <c r="AR13">
        <f t="shared" si="19"/>
        <v>9516280.34594985</v>
      </c>
      <c r="AS13">
        <f t="shared" si="7"/>
        <v>118953.504324373</v>
      </c>
      <c r="AT13">
        <f t="shared" si="8"/>
        <v>0.0125</v>
      </c>
      <c r="AW13">
        <v>163.9</v>
      </c>
      <c r="AX13">
        <f t="shared" si="1"/>
        <v>165.539</v>
      </c>
      <c r="AY13">
        <f t="shared" si="9"/>
        <v>-7289.35724311559</v>
      </c>
      <c r="AZ13">
        <f t="shared" si="12"/>
        <v>38588.6972484446</v>
      </c>
      <c r="BA13">
        <f t="shared" si="13"/>
        <v>31299.340005329</v>
      </c>
      <c r="BB13">
        <f t="shared" si="14"/>
        <v>10007000.1235903</v>
      </c>
      <c r="BC13">
        <f t="shared" si="2"/>
        <v>125087.501544879</v>
      </c>
      <c r="BD13">
        <f t="shared" si="3"/>
        <v>0.0125</v>
      </c>
      <c r="BG13">
        <f t="shared" si="10"/>
        <v>-10955.8831890647</v>
      </c>
      <c r="BH13">
        <f t="shared" si="11"/>
        <v>9863194.03308283</v>
      </c>
      <c r="BI13">
        <f t="shared" si="4"/>
        <v>123289.925413535</v>
      </c>
      <c r="BJ13">
        <f t="shared" si="5"/>
        <v>0.0125</v>
      </c>
    </row>
    <row r="14" spans="1:62">
      <c r="A14" s="4">
        <v>45658</v>
      </c>
      <c r="B14">
        <v>-17.780288935207</v>
      </c>
      <c r="C14">
        <v>0.619</v>
      </c>
      <c r="D14">
        <v>619</v>
      </c>
      <c r="E14">
        <v>1.7</v>
      </c>
      <c r="F14" s="7" t="s">
        <v>227</v>
      </c>
      <c r="G14" s="7" t="s">
        <v>228</v>
      </c>
      <c r="H14">
        <v>1052.3</v>
      </c>
      <c r="I14" s="7" t="s">
        <v>229</v>
      </c>
      <c r="J14" s="7" t="s">
        <v>230</v>
      </c>
      <c r="K14">
        <v>-336.596506662454</v>
      </c>
      <c r="L14" s="9" t="s">
        <v>231</v>
      </c>
      <c r="M14">
        <v>-250.427800956866</v>
      </c>
      <c r="N14" s="7" t="s">
        <v>232</v>
      </c>
      <c r="O14" s="7" t="s">
        <v>233</v>
      </c>
      <c r="P14" s="7" t="s">
        <v>234</v>
      </c>
      <c r="Q14" s="7" t="s">
        <v>235</v>
      </c>
      <c r="R14" s="7" t="s">
        <v>236</v>
      </c>
      <c r="S14">
        <v>0.4</v>
      </c>
      <c r="T14" s="7" t="s">
        <v>227</v>
      </c>
      <c r="U14" s="7" t="s">
        <v>237</v>
      </c>
      <c r="V14">
        <v>658.56</v>
      </c>
      <c r="W14" s="7" t="s">
        <v>238</v>
      </c>
      <c r="X14" s="7" t="s">
        <v>239</v>
      </c>
      <c r="Y14" s="7" t="s">
        <v>240</v>
      </c>
      <c r="Z14">
        <v>-258.087756460511</v>
      </c>
      <c r="AA14" s="8" t="s">
        <v>241</v>
      </c>
      <c r="AB14" s="7" t="s">
        <v>242</v>
      </c>
      <c r="AC14" s="7" t="s">
        <v>224</v>
      </c>
      <c r="AD14" s="7" t="s">
        <v>243</v>
      </c>
      <c r="AE14" s="7" t="s">
        <v>244</v>
      </c>
      <c r="AF14" s="7" t="s">
        <v>245</v>
      </c>
      <c r="AK14">
        <v>-258.087756460511</v>
      </c>
      <c r="AL14" s="9" t="s">
        <v>231</v>
      </c>
      <c r="AM14">
        <v>69.595</v>
      </c>
      <c r="AN14">
        <f t="shared" si="15"/>
        <v>70.29095</v>
      </c>
      <c r="AO14">
        <f t="shared" si="16"/>
        <v>-5330.94603276166</v>
      </c>
      <c r="AP14">
        <f t="shared" si="17"/>
        <v>117178.583386705</v>
      </c>
      <c r="AQ14">
        <f t="shared" si="18"/>
        <v>111847.637353943</v>
      </c>
      <c r="AR14">
        <f t="shared" si="19"/>
        <v>9628127.98330379</v>
      </c>
      <c r="AS14">
        <f t="shared" si="7"/>
        <v>120351.599791297</v>
      </c>
      <c r="AT14">
        <f t="shared" si="8"/>
        <v>0.0125</v>
      </c>
      <c r="AW14">
        <v>163.42</v>
      </c>
      <c r="AX14">
        <f t="shared" si="1"/>
        <v>165.0542</v>
      </c>
      <c r="AY14">
        <f t="shared" si="9"/>
        <v>-10895.47598433</v>
      </c>
      <c r="AZ14">
        <f t="shared" si="12"/>
        <v>-58018.2227377611</v>
      </c>
      <c r="BA14">
        <f t="shared" si="13"/>
        <v>-68913.6987220911</v>
      </c>
      <c r="BB14">
        <f t="shared" si="14"/>
        <v>9938086.42486823</v>
      </c>
      <c r="BC14">
        <f t="shared" si="2"/>
        <v>124226.080310853</v>
      </c>
      <c r="BD14">
        <f t="shared" si="3"/>
        <v>0.0125</v>
      </c>
      <c r="BG14">
        <f t="shared" si="10"/>
        <v>-16226.4220170916</v>
      </c>
      <c r="BH14">
        <f t="shared" si="11"/>
        <v>9846967.61106574</v>
      </c>
      <c r="BI14">
        <f t="shared" si="4"/>
        <v>123087.095138322</v>
      </c>
      <c r="BJ14">
        <f t="shared" si="5"/>
        <v>0.0125</v>
      </c>
    </row>
    <row r="15" spans="1:62">
      <c r="A15" s="4">
        <v>45659</v>
      </c>
      <c r="B15">
        <v>-18.0829998239051</v>
      </c>
      <c r="C15" s="7" t="s">
        <v>246</v>
      </c>
      <c r="D15">
        <v>619.35</v>
      </c>
      <c r="E15">
        <v>1.67</v>
      </c>
      <c r="F15" s="7" t="s">
        <v>247</v>
      </c>
      <c r="G15" s="7" t="s">
        <v>248</v>
      </c>
      <c r="H15">
        <v>1034.3145</v>
      </c>
      <c r="I15" s="7" t="s">
        <v>249</v>
      </c>
      <c r="J15" s="7" t="s">
        <v>250</v>
      </c>
      <c r="K15">
        <v>-348.809444297785</v>
      </c>
      <c r="L15" s="1">
        <v>-9.08642560068614</v>
      </c>
      <c r="M15">
        <v>-259.514226557552</v>
      </c>
      <c r="N15" s="7" t="s">
        <v>251</v>
      </c>
      <c r="O15">
        <v>-9082.9979295153</v>
      </c>
      <c r="P15" s="7" t="s">
        <v>252</v>
      </c>
      <c r="Q15" s="7" t="s">
        <v>253</v>
      </c>
      <c r="R15" s="7" t="s">
        <v>254</v>
      </c>
      <c r="S15">
        <v>0.38</v>
      </c>
      <c r="T15" s="7" t="s">
        <v>247</v>
      </c>
      <c r="U15" s="7" t="s">
        <v>255</v>
      </c>
      <c r="V15" s="7" t="s">
        <v>256</v>
      </c>
      <c r="W15" s="7" t="s">
        <v>257</v>
      </c>
      <c r="X15" s="7" t="s">
        <v>258</v>
      </c>
      <c r="Y15" s="7" t="s">
        <v>259</v>
      </c>
      <c r="Z15">
        <v>-250.427800956866</v>
      </c>
      <c r="AA15" s="8" t="s">
        <v>260</v>
      </c>
      <c r="AB15" s="7" t="s">
        <v>261</v>
      </c>
      <c r="AC15" s="7" t="s">
        <v>242</v>
      </c>
      <c r="AD15" s="7" t="s">
        <v>262</v>
      </c>
      <c r="AE15" s="7" t="s">
        <v>263</v>
      </c>
      <c r="AF15" s="7" t="s">
        <v>264</v>
      </c>
      <c r="AK15">
        <v>-250.427800956866</v>
      </c>
      <c r="AL15" s="1">
        <v>-9.08642560068614</v>
      </c>
      <c r="AM15">
        <v>69.32</v>
      </c>
      <c r="AN15">
        <f t="shared" si="15"/>
        <v>68.6268</v>
      </c>
      <c r="AO15">
        <f t="shared" si="16"/>
        <v>-6298.71022639567</v>
      </c>
      <c r="AP15">
        <f t="shared" si="17"/>
        <v>70974.133026642</v>
      </c>
      <c r="AQ15">
        <f t="shared" si="18"/>
        <v>64675.4228002463</v>
      </c>
      <c r="AR15">
        <f t="shared" si="19"/>
        <v>9692803.40610404</v>
      </c>
      <c r="AS15">
        <f t="shared" si="7"/>
        <v>121160.0425763</v>
      </c>
      <c r="AT15">
        <f t="shared" si="8"/>
        <v>0.0125</v>
      </c>
      <c r="AW15">
        <v>163.03</v>
      </c>
      <c r="AX15">
        <f t="shared" si="1"/>
        <v>164.6603</v>
      </c>
      <c r="AY15">
        <f t="shared" si="9"/>
        <v>-119812.415970936</v>
      </c>
      <c r="AZ15">
        <f t="shared" si="12"/>
        <v>-48874.3083080544</v>
      </c>
      <c r="BA15">
        <f t="shared" si="13"/>
        <v>-168686.72427899</v>
      </c>
      <c r="BB15">
        <f t="shared" si="14"/>
        <v>9769399.70058924</v>
      </c>
      <c r="BC15">
        <f t="shared" si="2"/>
        <v>122117.496257366</v>
      </c>
      <c r="BD15">
        <f t="shared" si="3"/>
        <v>0.0125</v>
      </c>
      <c r="BG15">
        <f t="shared" si="10"/>
        <v>-126111.126197331</v>
      </c>
      <c r="BH15">
        <f t="shared" si="11"/>
        <v>9720856.48486841</v>
      </c>
      <c r="BI15">
        <f t="shared" si="4"/>
        <v>121510.706060855</v>
      </c>
      <c r="BJ15">
        <f t="shared" si="5"/>
        <v>0.0125</v>
      </c>
    </row>
    <row r="16" spans="1:62">
      <c r="A16" s="4">
        <v>45660</v>
      </c>
      <c r="B16">
        <v>-18.2160834850278</v>
      </c>
      <c r="C16">
        <v>0.6217</v>
      </c>
      <c r="D16">
        <v>621.7</v>
      </c>
      <c r="E16">
        <v>1.56</v>
      </c>
      <c r="F16" s="7" t="s">
        <v>265</v>
      </c>
      <c r="G16" s="7" t="s">
        <v>266</v>
      </c>
      <c r="H16" s="7" t="s">
        <v>267</v>
      </c>
      <c r="I16">
        <v>628.949022</v>
      </c>
      <c r="J16" s="7" t="s">
        <v>268</v>
      </c>
      <c r="K16">
        <v>-379.320236059334</v>
      </c>
      <c r="L16" s="1">
        <v>-22.7000290705924</v>
      </c>
      <c r="M16">
        <v>-282.214255628145</v>
      </c>
      <c r="N16" s="7" t="s">
        <v>269</v>
      </c>
      <c r="O16">
        <v>-66320.3500726139</v>
      </c>
      <c r="P16" s="7" t="s">
        <v>270</v>
      </c>
      <c r="Q16">
        <v>1.6397</v>
      </c>
      <c r="R16">
        <v>1639.7</v>
      </c>
      <c r="S16">
        <v>0.31</v>
      </c>
      <c r="T16" s="7" t="s">
        <v>265</v>
      </c>
      <c r="U16" s="7" t="s">
        <v>271</v>
      </c>
      <c r="V16">
        <v>508.307</v>
      </c>
      <c r="W16">
        <v>574.7935556</v>
      </c>
      <c r="X16" s="7" t="s">
        <v>272</v>
      </c>
      <c r="Y16" s="7" t="s">
        <v>273</v>
      </c>
      <c r="Z16">
        <v>-259.514226557552</v>
      </c>
      <c r="AA16" s="8" t="s">
        <v>274</v>
      </c>
      <c r="AB16" s="7" t="s">
        <v>275</v>
      </c>
      <c r="AC16" s="7" t="s">
        <v>261</v>
      </c>
      <c r="AD16" s="7" t="s">
        <v>276</v>
      </c>
      <c r="AE16">
        <v>-282514.894660108</v>
      </c>
      <c r="AF16" s="7" t="s">
        <v>277</v>
      </c>
      <c r="AK16">
        <v>-259.514226557552</v>
      </c>
      <c r="AL16" s="1">
        <v>-22.7000290705924</v>
      </c>
      <c r="AM16">
        <v>69.84</v>
      </c>
      <c r="AN16">
        <f t="shared" si="15"/>
        <v>69.1416</v>
      </c>
      <c r="AO16">
        <f t="shared" si="16"/>
        <v>-15853.7003029019</v>
      </c>
      <c r="AP16">
        <f t="shared" si="17"/>
        <v>-130222.456497573</v>
      </c>
      <c r="AQ16">
        <f t="shared" si="18"/>
        <v>-146076.156800475</v>
      </c>
      <c r="AR16">
        <f t="shared" si="19"/>
        <v>9546727.24930356</v>
      </c>
      <c r="AS16">
        <f t="shared" si="7"/>
        <v>119334.090616295</v>
      </c>
      <c r="AT16">
        <f t="shared" si="8"/>
        <v>0.0125</v>
      </c>
      <c r="AW16">
        <v>162.29</v>
      </c>
      <c r="AX16">
        <f t="shared" si="1"/>
        <v>163.9129</v>
      </c>
      <c r="AY16">
        <f t="shared" si="9"/>
        <v>-205935.525140871</v>
      </c>
      <c r="AZ16">
        <f t="shared" si="12"/>
        <v>-97669.566855385</v>
      </c>
      <c r="BA16">
        <f t="shared" si="13"/>
        <v>-303605.091996256</v>
      </c>
      <c r="BB16">
        <f t="shared" si="14"/>
        <v>9465794.60859299</v>
      </c>
      <c r="BC16">
        <f t="shared" si="2"/>
        <v>118322.432607412</v>
      </c>
      <c r="BD16">
        <f t="shared" si="3"/>
        <v>0.0125</v>
      </c>
      <c r="BG16">
        <f t="shared" si="10"/>
        <v>-221789.225443773</v>
      </c>
      <c r="BH16">
        <f t="shared" si="11"/>
        <v>9499067.25942463</v>
      </c>
      <c r="BI16">
        <f t="shared" si="4"/>
        <v>118738.340742808</v>
      </c>
      <c r="BJ16">
        <f t="shared" si="5"/>
        <v>0.0125</v>
      </c>
    </row>
    <row r="17" spans="1:62">
      <c r="A17" s="4">
        <v>45663</v>
      </c>
      <c r="B17">
        <v>-17.0855669867429</v>
      </c>
      <c r="C17">
        <v>0.6242</v>
      </c>
      <c r="D17" s="7" t="s">
        <v>278</v>
      </c>
      <c r="E17">
        <v>1.47</v>
      </c>
      <c r="F17" s="7" t="s">
        <v>279</v>
      </c>
      <c r="G17" s="7" t="s">
        <v>280</v>
      </c>
      <c r="H17" s="7" t="s">
        <v>281</v>
      </c>
      <c r="I17" s="7" t="s">
        <v>282</v>
      </c>
      <c r="J17" s="7" t="s">
        <v>283</v>
      </c>
      <c r="K17">
        <v>-384.023595413758</v>
      </c>
      <c r="L17" s="1">
        <v>-3.499299359691</v>
      </c>
      <c r="M17">
        <v>-285.713554987836</v>
      </c>
      <c r="N17" s="7" t="s">
        <v>284</v>
      </c>
      <c r="O17">
        <v>-71428.388746959</v>
      </c>
      <c r="P17" s="7" t="s">
        <v>285</v>
      </c>
      <c r="Q17" s="7" t="s">
        <v>286</v>
      </c>
      <c r="R17" s="7" t="s">
        <v>287</v>
      </c>
      <c r="S17">
        <v>0.29</v>
      </c>
      <c r="T17" s="7" t="s">
        <v>279</v>
      </c>
      <c r="U17" s="7" t="s">
        <v>288</v>
      </c>
      <c r="V17">
        <v>475.484</v>
      </c>
      <c r="W17">
        <v>537.6773072</v>
      </c>
      <c r="X17" s="7" t="s">
        <v>289</v>
      </c>
      <c r="Y17" s="7" t="s">
        <v>290</v>
      </c>
      <c r="Z17">
        <v>-282.214255628145</v>
      </c>
      <c r="AA17" s="2">
        <v>-144.577372873279</v>
      </c>
      <c r="AB17" s="7" t="s">
        <v>291</v>
      </c>
      <c r="AC17" s="7" t="s">
        <v>275</v>
      </c>
      <c r="AD17" s="7" t="s">
        <v>292</v>
      </c>
      <c r="AE17">
        <v>-1877.93091432561</v>
      </c>
      <c r="AF17" s="7" t="s">
        <v>293</v>
      </c>
      <c r="AK17">
        <v>-282.214255628145</v>
      </c>
      <c r="AL17" s="1">
        <v>-3.499299359691</v>
      </c>
      <c r="AM17">
        <v>70.335</v>
      </c>
      <c r="AN17">
        <f t="shared" si="15"/>
        <v>69.63165</v>
      </c>
      <c r="AO17">
        <f t="shared" si="16"/>
        <v>-2461.23220463867</v>
      </c>
      <c r="AP17">
        <f t="shared" si="17"/>
        <v>-128459.542145986</v>
      </c>
      <c r="AQ17">
        <f t="shared" si="18"/>
        <v>-130920.774350624</v>
      </c>
      <c r="AR17">
        <f t="shared" si="19"/>
        <v>9415806.47495294</v>
      </c>
      <c r="AS17">
        <f t="shared" si="7"/>
        <v>117697.580936912</v>
      </c>
      <c r="AT17">
        <f t="shared" si="8"/>
        <v>0.0125</v>
      </c>
      <c r="AW17">
        <v>163.13</v>
      </c>
      <c r="AX17">
        <f t="shared" si="1"/>
        <v>164.7613</v>
      </c>
      <c r="AY17">
        <f t="shared" si="9"/>
        <v>235849.068368181</v>
      </c>
      <c r="AZ17">
        <f t="shared" si="12"/>
        <v>172600.61689589</v>
      </c>
      <c r="BA17">
        <f t="shared" si="13"/>
        <v>408449.685264072</v>
      </c>
      <c r="BB17">
        <f t="shared" si="14"/>
        <v>9874244.29385706</v>
      </c>
      <c r="BC17">
        <f t="shared" si="2"/>
        <v>123428.053673213</v>
      </c>
      <c r="BD17">
        <f t="shared" si="3"/>
        <v>0.0125</v>
      </c>
      <c r="BG17">
        <f t="shared" si="10"/>
        <v>233387.836163543</v>
      </c>
      <c r="BH17">
        <f t="shared" si="11"/>
        <v>9732455.09558818</v>
      </c>
      <c r="BI17">
        <f t="shared" si="4"/>
        <v>121655.688694852</v>
      </c>
      <c r="BJ17">
        <f t="shared" si="5"/>
        <v>0.0125</v>
      </c>
    </row>
    <row r="18" spans="1:62">
      <c r="A18" s="4">
        <v>45664</v>
      </c>
      <c r="B18">
        <v>-15.3559590812938</v>
      </c>
      <c r="C18">
        <v>0.624</v>
      </c>
      <c r="D18">
        <v>624</v>
      </c>
      <c r="E18">
        <v>1.36</v>
      </c>
      <c r="F18" s="7" t="s">
        <v>294</v>
      </c>
      <c r="G18" s="7" t="s">
        <v>295</v>
      </c>
      <c r="H18" s="7" t="s">
        <v>296</v>
      </c>
      <c r="I18" s="7" t="s">
        <v>297</v>
      </c>
      <c r="J18" s="7" t="s">
        <v>298</v>
      </c>
      <c r="K18">
        <v>-381.528055758571</v>
      </c>
      <c r="L18" s="9" t="s">
        <v>299</v>
      </c>
      <c r="M18">
        <v>-283.856873484377</v>
      </c>
      <c r="N18" s="7" t="s">
        <v>300</v>
      </c>
      <c r="O18" s="7" t="s">
        <v>301</v>
      </c>
      <c r="P18" s="7" t="s">
        <v>302</v>
      </c>
      <c r="Q18" s="7" t="s">
        <v>303</v>
      </c>
      <c r="R18">
        <v>1637.4</v>
      </c>
      <c r="S18">
        <v>0.28</v>
      </c>
      <c r="T18" s="7" t="s">
        <v>294</v>
      </c>
      <c r="U18" s="7" t="s">
        <v>304</v>
      </c>
      <c r="V18" s="7" t="s">
        <v>305</v>
      </c>
      <c r="W18" s="7" t="s">
        <v>306</v>
      </c>
      <c r="X18" s="7" t="s">
        <v>307</v>
      </c>
      <c r="Y18" s="7" t="s">
        <v>308</v>
      </c>
      <c r="Z18">
        <v>-285.713554987836</v>
      </c>
      <c r="AA18" s="2">
        <v>-41.2262209334269</v>
      </c>
      <c r="AB18" s="7" t="s">
        <v>309</v>
      </c>
      <c r="AC18" s="7" t="s">
        <v>291</v>
      </c>
      <c r="AD18" s="7" t="s">
        <v>310</v>
      </c>
      <c r="AE18">
        <v>-32244.7115098469</v>
      </c>
      <c r="AF18" s="7" t="s">
        <v>311</v>
      </c>
      <c r="AK18">
        <v>-285.713554987836</v>
      </c>
      <c r="AL18" s="9" t="s">
        <v>299</v>
      </c>
      <c r="AM18">
        <v>70.635</v>
      </c>
      <c r="AN18">
        <f t="shared" si="15"/>
        <v>71.34135</v>
      </c>
      <c r="AO18">
        <f t="shared" si="16"/>
        <v>-1311.46697996791</v>
      </c>
      <c r="AP18">
        <f t="shared" si="17"/>
        <v>-84664.2766884467</v>
      </c>
      <c r="AQ18">
        <f t="shared" si="18"/>
        <v>-85975.7436684146</v>
      </c>
      <c r="AR18">
        <f t="shared" si="19"/>
        <v>9329830.73128452</v>
      </c>
      <c r="AS18">
        <f t="shared" si="7"/>
        <v>116622.884141057</v>
      </c>
      <c r="AT18">
        <f t="shared" si="8"/>
        <v>0.0125</v>
      </c>
      <c r="AW18">
        <v>162.76</v>
      </c>
      <c r="AX18">
        <f t="shared" si="1"/>
        <v>164.3876</v>
      </c>
      <c r="AY18">
        <f t="shared" si="9"/>
        <v>67099.7971912457</v>
      </c>
      <c r="AZ18">
        <f t="shared" si="12"/>
        <v>-122977.071793226</v>
      </c>
      <c r="BA18">
        <f t="shared" si="13"/>
        <v>-55877.2746019799</v>
      </c>
      <c r="BB18">
        <f t="shared" si="14"/>
        <v>9818367.01925508</v>
      </c>
      <c r="BC18">
        <f t="shared" si="2"/>
        <v>122729.587740688</v>
      </c>
      <c r="BD18">
        <f t="shared" si="3"/>
        <v>0.0125</v>
      </c>
      <c r="BG18">
        <f t="shared" si="10"/>
        <v>65788.3302112778</v>
      </c>
      <c r="BH18">
        <f t="shared" si="11"/>
        <v>9798243.42579946</v>
      </c>
      <c r="BI18">
        <f t="shared" si="4"/>
        <v>122478.042822493</v>
      </c>
      <c r="BJ18">
        <f t="shared" si="5"/>
        <v>0.0125</v>
      </c>
    </row>
    <row r="19" spans="1:62">
      <c r="A19" s="4">
        <v>45665</v>
      </c>
      <c r="B19">
        <v>-14.3309206507879</v>
      </c>
      <c r="C19">
        <v>0.62115</v>
      </c>
      <c r="D19">
        <v>621.15</v>
      </c>
      <c r="E19">
        <v>1.31</v>
      </c>
      <c r="F19" s="7" t="s">
        <v>312</v>
      </c>
      <c r="G19" s="7" t="s">
        <v>313</v>
      </c>
      <c r="H19">
        <v>813.7065</v>
      </c>
      <c r="I19">
        <v>527.68866525</v>
      </c>
      <c r="J19" s="7" t="s">
        <v>314</v>
      </c>
      <c r="K19">
        <v>-373.677410521789</v>
      </c>
      <c r="L19" s="9" t="s">
        <v>315</v>
      </c>
      <c r="M19">
        <v>-278.015993428211</v>
      </c>
      <c r="N19" s="7" t="s">
        <v>316</v>
      </c>
      <c r="O19" s="7" t="s">
        <v>317</v>
      </c>
      <c r="P19" s="7" t="s">
        <v>318</v>
      </c>
      <c r="Q19" s="7" t="s">
        <v>286</v>
      </c>
      <c r="R19" s="7" t="s">
        <v>287</v>
      </c>
      <c r="S19">
        <v>0.27</v>
      </c>
      <c r="T19" s="7" t="s">
        <v>312</v>
      </c>
      <c r="U19" s="7" t="s">
        <v>319</v>
      </c>
      <c r="V19" s="7" t="s">
        <v>320</v>
      </c>
      <c r="W19" s="7" t="s">
        <v>321</v>
      </c>
      <c r="X19" s="7" t="s">
        <v>322</v>
      </c>
      <c r="Y19" s="7" t="s">
        <v>323</v>
      </c>
      <c r="Z19">
        <v>-283.856873484377</v>
      </c>
      <c r="AA19" s="2">
        <v>-62.4974588734751</v>
      </c>
      <c r="AB19" s="7" t="s">
        <v>324</v>
      </c>
      <c r="AC19" s="7" t="s">
        <v>309</v>
      </c>
      <c r="AD19" s="7" t="s">
        <v>325</v>
      </c>
      <c r="AE19" s="7" t="s">
        <v>326</v>
      </c>
      <c r="AF19" s="7" t="s">
        <v>327</v>
      </c>
      <c r="AK19">
        <v>-283.856873484377</v>
      </c>
      <c r="AL19" s="9" t="s">
        <v>315</v>
      </c>
      <c r="AM19">
        <v>71.155</v>
      </c>
      <c r="AN19">
        <f t="shared" si="15"/>
        <v>71.86655</v>
      </c>
      <c r="AO19">
        <f t="shared" si="16"/>
        <v>-4156.0782039652</v>
      </c>
      <c r="AP19">
        <f t="shared" si="17"/>
        <v>-148571.048593674</v>
      </c>
      <c r="AQ19">
        <f t="shared" si="18"/>
        <v>-152727.126797639</v>
      </c>
      <c r="AR19">
        <f t="shared" si="19"/>
        <v>9177103.60448688</v>
      </c>
      <c r="AS19">
        <f t="shared" si="7"/>
        <v>114713.795056086</v>
      </c>
      <c r="AT19">
        <f t="shared" si="8"/>
        <v>0.0125</v>
      </c>
      <c r="AW19">
        <v>161.76</v>
      </c>
      <c r="AX19">
        <f t="shared" si="1"/>
        <v>163.3776</v>
      </c>
      <c r="AY19">
        <f t="shared" si="9"/>
        <v>101095.889473734</v>
      </c>
      <c r="AZ19">
        <f t="shared" si="12"/>
        <v>-187793.091432732</v>
      </c>
      <c r="BA19">
        <f t="shared" si="13"/>
        <v>-86697.201958998</v>
      </c>
      <c r="BB19">
        <f t="shared" si="14"/>
        <v>9731669.81729608</v>
      </c>
      <c r="BC19">
        <f t="shared" si="2"/>
        <v>121645.872716201</v>
      </c>
      <c r="BD19">
        <f t="shared" si="3"/>
        <v>0.0125</v>
      </c>
      <c r="BG19">
        <f t="shared" si="10"/>
        <v>96939.8112697687</v>
      </c>
      <c r="BH19">
        <f t="shared" si="11"/>
        <v>9895183.23706922</v>
      </c>
      <c r="BI19">
        <f t="shared" si="4"/>
        <v>123689.790463365</v>
      </c>
      <c r="BJ19">
        <f t="shared" si="5"/>
        <v>0.0125</v>
      </c>
    </row>
    <row r="20" spans="1:62">
      <c r="A20" s="4">
        <v>45666</v>
      </c>
      <c r="B20">
        <v>-14.2407074397341</v>
      </c>
      <c r="C20">
        <v>0.61985</v>
      </c>
      <c r="D20">
        <v>619.85</v>
      </c>
      <c r="E20">
        <v>1.21</v>
      </c>
      <c r="F20" s="7" t="s">
        <v>328</v>
      </c>
      <c r="G20" s="7" t="s">
        <v>329</v>
      </c>
      <c r="H20">
        <v>750.0185</v>
      </c>
      <c r="I20">
        <v>486.38699725</v>
      </c>
      <c r="J20" s="7" t="s">
        <v>330</v>
      </c>
      <c r="K20">
        <v>-406.73929752893</v>
      </c>
      <c r="L20" s="1">
        <v>-24.5980439333129</v>
      </c>
      <c r="M20">
        <v>-302.614037361524</v>
      </c>
      <c r="N20" s="7" t="s">
        <v>331</v>
      </c>
      <c r="O20" s="7" t="s">
        <v>332</v>
      </c>
      <c r="P20" s="7" t="s">
        <v>333</v>
      </c>
      <c r="Q20" s="7" t="s">
        <v>334</v>
      </c>
      <c r="R20" s="7" t="s">
        <v>335</v>
      </c>
      <c r="S20">
        <v>0.28</v>
      </c>
      <c r="T20" s="7" t="s">
        <v>328</v>
      </c>
      <c r="U20" s="7" t="s">
        <v>336</v>
      </c>
      <c r="V20" s="7" t="s">
        <v>337</v>
      </c>
      <c r="W20" s="7" t="s">
        <v>338</v>
      </c>
      <c r="X20" s="7" t="s">
        <v>339</v>
      </c>
      <c r="Y20" s="7" t="s">
        <v>340</v>
      </c>
      <c r="Z20">
        <v>-278.015993428211</v>
      </c>
      <c r="AA20" s="8" t="s">
        <v>341</v>
      </c>
      <c r="AB20" s="7" t="s">
        <v>342</v>
      </c>
      <c r="AC20" s="7" t="s">
        <v>324</v>
      </c>
      <c r="AD20" s="7" t="s">
        <v>343</v>
      </c>
      <c r="AE20" s="7" t="s">
        <v>344</v>
      </c>
      <c r="AF20" s="7" t="s">
        <v>345</v>
      </c>
      <c r="AK20">
        <v>-278.015993428211</v>
      </c>
      <c r="AL20" s="1">
        <v>-24.5980439333129</v>
      </c>
      <c r="AM20">
        <v>71.255</v>
      </c>
      <c r="AN20">
        <f t="shared" si="15"/>
        <v>70.54245</v>
      </c>
      <c r="AO20">
        <f t="shared" si="16"/>
        <v>-17527.3362046823</v>
      </c>
      <c r="AP20">
        <f t="shared" si="17"/>
        <v>-28385.6873484361</v>
      </c>
      <c r="AQ20">
        <f t="shared" si="18"/>
        <v>-45913.0235531184</v>
      </c>
      <c r="AR20">
        <f t="shared" si="19"/>
        <v>9131190.58093377</v>
      </c>
      <c r="AS20">
        <f t="shared" si="7"/>
        <v>114139.882261672</v>
      </c>
      <c r="AT20">
        <f t="shared" si="8"/>
        <v>0.0125</v>
      </c>
      <c r="AW20">
        <v>161.43</v>
      </c>
      <c r="AX20">
        <f t="shared" si="1"/>
        <v>163.0443</v>
      </c>
      <c r="AY20">
        <f t="shared" si="9"/>
        <v>-11355.010771405</v>
      </c>
      <c r="AZ20">
        <f t="shared" si="12"/>
        <v>-48367.0672647683</v>
      </c>
      <c r="BA20">
        <f t="shared" si="13"/>
        <v>-59722.0780361733</v>
      </c>
      <c r="BB20">
        <f t="shared" si="14"/>
        <v>9671947.73925991</v>
      </c>
      <c r="BC20">
        <f t="shared" si="2"/>
        <v>120899.346740749</v>
      </c>
      <c r="BD20">
        <f t="shared" si="3"/>
        <v>0.0125</v>
      </c>
      <c r="BG20">
        <f t="shared" si="10"/>
        <v>-28882.3469760873</v>
      </c>
      <c r="BH20">
        <f t="shared" si="11"/>
        <v>9866300.89009314</v>
      </c>
      <c r="BI20">
        <f t="shared" si="4"/>
        <v>123328.761126164</v>
      </c>
      <c r="BJ20">
        <f t="shared" si="5"/>
        <v>0.0125</v>
      </c>
    </row>
    <row r="21" spans="1:62">
      <c r="A21" s="4">
        <v>45667</v>
      </c>
      <c r="B21">
        <v>-14.6650471031642</v>
      </c>
      <c r="C21">
        <v>0.6149</v>
      </c>
      <c r="D21">
        <v>614.9</v>
      </c>
      <c r="E21">
        <v>1.23</v>
      </c>
      <c r="F21" s="7" t="s">
        <v>346</v>
      </c>
      <c r="G21" s="7" t="s">
        <v>347</v>
      </c>
      <c r="H21">
        <v>756.327</v>
      </c>
      <c r="I21">
        <v>490.4780595</v>
      </c>
      <c r="J21" s="7" t="s">
        <v>348</v>
      </c>
      <c r="K21">
        <v>-416.367028213703</v>
      </c>
      <c r="L21" s="1">
        <v>-7.16303162947099</v>
      </c>
      <c r="M21">
        <v>-309.777068990995</v>
      </c>
      <c r="N21" s="7" t="s">
        <v>349</v>
      </c>
      <c r="O21" s="7" t="s">
        <v>350</v>
      </c>
      <c r="P21" s="7" t="s">
        <v>351</v>
      </c>
      <c r="Q21">
        <v>1.6441</v>
      </c>
      <c r="R21">
        <v>1644.1</v>
      </c>
      <c r="S21">
        <v>0.3</v>
      </c>
      <c r="T21" s="7" t="s">
        <v>346</v>
      </c>
      <c r="U21" s="7" t="s">
        <v>352</v>
      </c>
      <c r="V21" s="7" t="s">
        <v>353</v>
      </c>
      <c r="W21" s="7" t="s">
        <v>354</v>
      </c>
      <c r="X21" s="7" t="s">
        <v>355</v>
      </c>
      <c r="Y21" s="7" t="s">
        <v>356</v>
      </c>
      <c r="Z21">
        <v>-302.614037361524</v>
      </c>
      <c r="AA21" s="8" t="s">
        <v>357</v>
      </c>
      <c r="AB21" s="7" t="s">
        <v>358</v>
      </c>
      <c r="AC21" s="7" t="s">
        <v>342</v>
      </c>
      <c r="AD21" s="7" t="s">
        <v>359</v>
      </c>
      <c r="AE21" s="7" t="s">
        <v>360</v>
      </c>
      <c r="AF21" s="7" t="s">
        <v>361</v>
      </c>
      <c r="AK21">
        <v>-302.614037361524</v>
      </c>
      <c r="AL21" s="1">
        <v>-7.16303162947099</v>
      </c>
      <c r="AM21">
        <v>71.235</v>
      </c>
      <c r="AN21">
        <f t="shared" si="15"/>
        <v>70.52265</v>
      </c>
      <c r="AO21">
        <f t="shared" si="16"/>
        <v>-5102.58558125366</v>
      </c>
      <c r="AP21">
        <f t="shared" si="17"/>
        <v>5560.31986856311</v>
      </c>
      <c r="AQ21">
        <f t="shared" si="18"/>
        <v>457.734287309449</v>
      </c>
      <c r="AR21">
        <f t="shared" si="19"/>
        <v>9131648.31522107</v>
      </c>
      <c r="AS21">
        <f t="shared" si="7"/>
        <v>114145.603940263</v>
      </c>
      <c r="AT21">
        <f t="shared" si="8"/>
        <v>0.0125</v>
      </c>
      <c r="AW21">
        <v>161.85</v>
      </c>
      <c r="AX21">
        <f t="shared" si="1"/>
        <v>163.4685</v>
      </c>
      <c r="AY21">
        <f t="shared" si="9"/>
        <v>-54025.8624172806</v>
      </c>
      <c r="AZ21">
        <f t="shared" si="12"/>
        <v>35309.1528828476</v>
      </c>
      <c r="BA21">
        <f t="shared" si="13"/>
        <v>-18716.709534433</v>
      </c>
      <c r="BB21">
        <f t="shared" si="14"/>
        <v>9653231.02972548</v>
      </c>
      <c r="BC21">
        <f t="shared" si="2"/>
        <v>120665.387871568</v>
      </c>
      <c r="BD21">
        <f t="shared" si="3"/>
        <v>0.0125</v>
      </c>
      <c r="BG21">
        <f t="shared" si="10"/>
        <v>-59128.4479985342</v>
      </c>
      <c r="BH21">
        <f t="shared" si="11"/>
        <v>9807172.4420946</v>
      </c>
      <c r="BI21">
        <f t="shared" si="4"/>
        <v>122589.655526183</v>
      </c>
      <c r="BJ21">
        <f t="shared" si="5"/>
        <v>0.0125</v>
      </c>
    </row>
    <row r="22" spans="1:62">
      <c r="A22" s="4">
        <v>45670</v>
      </c>
      <c r="B22">
        <v>-15.7572199362037</v>
      </c>
      <c r="C22">
        <v>0.6156</v>
      </c>
      <c r="D22">
        <v>615.6</v>
      </c>
      <c r="E22">
        <v>1.12</v>
      </c>
      <c r="F22" s="7" t="s">
        <v>362</v>
      </c>
      <c r="G22" s="7" t="s">
        <v>363</v>
      </c>
      <c r="H22" s="7" t="s">
        <v>364</v>
      </c>
      <c r="I22" s="7" t="s">
        <v>365</v>
      </c>
      <c r="J22" s="7" t="s">
        <v>366</v>
      </c>
      <c r="K22">
        <v>-493.367398854368</v>
      </c>
      <c r="L22" s="1">
        <v>-57.2882757566548</v>
      </c>
      <c r="M22">
        <v>-367.065344747649</v>
      </c>
      <c r="N22" s="7" t="s">
        <v>367</v>
      </c>
      <c r="O22">
        <v>-25694.5741323355</v>
      </c>
      <c r="P22" s="7" t="s">
        <v>368</v>
      </c>
      <c r="Q22">
        <v>1.6457</v>
      </c>
      <c r="R22">
        <v>1645.7</v>
      </c>
      <c r="S22">
        <v>0.32</v>
      </c>
      <c r="T22" s="7" t="s">
        <v>362</v>
      </c>
      <c r="U22" s="7" t="s">
        <v>369</v>
      </c>
      <c r="V22">
        <v>526.624</v>
      </c>
      <c r="W22" s="7" t="s">
        <v>370</v>
      </c>
      <c r="X22" s="7" t="s">
        <v>371</v>
      </c>
      <c r="Y22" s="7" t="s">
        <v>372</v>
      </c>
      <c r="Z22">
        <v>-309.777068990995</v>
      </c>
      <c r="AA22" s="8" t="s">
        <v>373</v>
      </c>
      <c r="AB22" s="7" t="s">
        <v>374</v>
      </c>
      <c r="AC22" s="7" t="s">
        <v>358</v>
      </c>
      <c r="AD22" s="7" t="s">
        <v>375</v>
      </c>
      <c r="AE22" s="7" t="s">
        <v>376</v>
      </c>
      <c r="AF22" s="7" t="s">
        <v>377</v>
      </c>
      <c r="AK22">
        <v>-309.777068990995</v>
      </c>
      <c r="AL22" s="1">
        <v>-57.2882757566548</v>
      </c>
      <c r="AM22">
        <v>70.695</v>
      </c>
      <c r="AN22">
        <f t="shared" si="15"/>
        <v>69.98805</v>
      </c>
      <c r="AO22">
        <f t="shared" si="16"/>
        <v>-40499.9465461675</v>
      </c>
      <c r="AP22">
        <f t="shared" si="17"/>
        <v>163411.580175225</v>
      </c>
      <c r="AQ22">
        <f t="shared" si="18"/>
        <v>122911.633629057</v>
      </c>
      <c r="AR22">
        <f t="shared" si="19"/>
        <v>9254559.94885013</v>
      </c>
      <c r="AS22">
        <f t="shared" si="7"/>
        <v>115681.999360627</v>
      </c>
      <c r="AT22">
        <f t="shared" si="8"/>
        <v>0.0125</v>
      </c>
      <c r="AW22">
        <v>162.07</v>
      </c>
      <c r="AX22">
        <f t="shared" si="1"/>
        <v>163.6907</v>
      </c>
      <c r="AY22">
        <f t="shared" si="9"/>
        <v>-53893.355149048</v>
      </c>
      <c r="AZ22">
        <f t="shared" si="12"/>
        <v>20042.7539063222</v>
      </c>
      <c r="BA22">
        <f t="shared" si="13"/>
        <v>-33850.6012427258</v>
      </c>
      <c r="BB22">
        <f t="shared" si="14"/>
        <v>9619380.42848275</v>
      </c>
      <c r="BC22">
        <f t="shared" si="2"/>
        <v>120242.255356034</v>
      </c>
      <c r="BD22">
        <f t="shared" si="3"/>
        <v>0.0125</v>
      </c>
      <c r="BG22">
        <f t="shared" si="10"/>
        <v>-94393.3016952155</v>
      </c>
      <c r="BH22">
        <f t="shared" si="11"/>
        <v>9712779.14039939</v>
      </c>
      <c r="BI22">
        <f t="shared" si="4"/>
        <v>121409.739254992</v>
      </c>
      <c r="BJ22">
        <f t="shared" si="5"/>
        <v>0.0125</v>
      </c>
    </row>
    <row r="23" spans="1:62">
      <c r="A23" s="4">
        <v>45671</v>
      </c>
      <c r="B23">
        <v>-16.4866548913164</v>
      </c>
      <c r="C23">
        <v>0.6187</v>
      </c>
      <c r="D23">
        <v>618.7</v>
      </c>
      <c r="E23">
        <v>1.04</v>
      </c>
      <c r="F23" s="7" t="s">
        <v>378</v>
      </c>
      <c r="G23" s="7" t="s">
        <v>379</v>
      </c>
      <c r="H23" s="7" t="s">
        <v>380</v>
      </c>
      <c r="I23" s="7" t="s">
        <v>381</v>
      </c>
      <c r="J23" s="7" t="s">
        <v>382</v>
      </c>
      <c r="K23">
        <v>-557.573658051522</v>
      </c>
      <c r="L23" s="1">
        <v>-47.7694568426825</v>
      </c>
      <c r="M23">
        <v>-414.834801590332</v>
      </c>
      <c r="N23" s="7" t="s">
        <v>383</v>
      </c>
      <c r="O23">
        <v>-128598.788493001</v>
      </c>
      <c r="P23" s="7" t="s">
        <v>384</v>
      </c>
      <c r="Q23" s="7" t="s">
        <v>385</v>
      </c>
      <c r="R23" s="7" t="s">
        <v>386</v>
      </c>
      <c r="S23">
        <v>0.35</v>
      </c>
      <c r="T23" s="7" t="s">
        <v>378</v>
      </c>
      <c r="U23" s="7" t="s">
        <v>387</v>
      </c>
      <c r="V23" s="7" t="s">
        <v>388</v>
      </c>
      <c r="W23" s="7" t="s">
        <v>389</v>
      </c>
      <c r="X23" s="7" t="s">
        <v>390</v>
      </c>
      <c r="Y23" s="7" t="s">
        <v>391</v>
      </c>
      <c r="Z23">
        <v>-367.065344747649</v>
      </c>
      <c r="AA23" s="8" t="s">
        <v>392</v>
      </c>
      <c r="AB23" s="7" t="s">
        <v>393</v>
      </c>
      <c r="AC23" s="7" t="s">
        <v>374</v>
      </c>
      <c r="AD23" s="7" t="s">
        <v>394</v>
      </c>
      <c r="AE23" s="7" t="s">
        <v>395</v>
      </c>
      <c r="AF23" s="7" t="s">
        <v>396</v>
      </c>
      <c r="AK23">
        <v>-367.065344747649</v>
      </c>
      <c r="AL23" s="1">
        <v>-47.7694568426825</v>
      </c>
      <c r="AM23">
        <v>70.645</v>
      </c>
      <c r="AN23">
        <f t="shared" si="15"/>
        <v>69.93855</v>
      </c>
      <c r="AO23">
        <f t="shared" si="16"/>
        <v>-33746.7327865132</v>
      </c>
      <c r="AP23">
        <f t="shared" si="17"/>
        <v>15488.8534495489</v>
      </c>
      <c r="AQ23">
        <f t="shared" si="18"/>
        <v>-18257.8793369644</v>
      </c>
      <c r="AR23">
        <f t="shared" si="19"/>
        <v>9236302.06951317</v>
      </c>
      <c r="AS23">
        <f t="shared" si="7"/>
        <v>115453.775868915</v>
      </c>
      <c r="AT23">
        <f t="shared" si="8"/>
        <v>0.0125</v>
      </c>
      <c r="AW23">
        <v>162.13</v>
      </c>
      <c r="AX23">
        <f t="shared" si="1"/>
        <v>163.7513</v>
      </c>
      <c r="AY23">
        <f t="shared" si="9"/>
        <v>-32100.9775585977</v>
      </c>
      <c r="AZ23">
        <f t="shared" si="12"/>
        <v>7469.01793397686</v>
      </c>
      <c r="BA23">
        <f t="shared" si="13"/>
        <v>-24631.9596246208</v>
      </c>
      <c r="BB23">
        <f t="shared" si="14"/>
        <v>9594748.46885813</v>
      </c>
      <c r="BC23">
        <f t="shared" si="2"/>
        <v>119934.355860727</v>
      </c>
      <c r="BD23">
        <f t="shared" si="3"/>
        <v>0.0125</v>
      </c>
      <c r="BG23">
        <f t="shared" si="10"/>
        <v>-65847.7103451109</v>
      </c>
      <c r="BH23">
        <f t="shared" si="11"/>
        <v>9646931.43005428</v>
      </c>
      <c r="BI23">
        <f t="shared" si="4"/>
        <v>120586.642875678</v>
      </c>
      <c r="BJ23">
        <f t="shared" si="5"/>
        <v>0.0125</v>
      </c>
    </row>
    <row r="24" spans="1:62">
      <c r="A24" s="4">
        <v>45672</v>
      </c>
      <c r="B24">
        <v>-15.3372258245683</v>
      </c>
      <c r="C24">
        <v>0.62295</v>
      </c>
      <c r="D24">
        <v>622.95</v>
      </c>
      <c r="E24">
        <v>0.95</v>
      </c>
      <c r="F24" s="7" t="s">
        <v>397</v>
      </c>
      <c r="G24" s="7" t="s">
        <v>398</v>
      </c>
      <c r="H24">
        <v>591.8025</v>
      </c>
      <c r="I24">
        <v>383.78392125</v>
      </c>
      <c r="J24" s="7" t="s">
        <v>399</v>
      </c>
      <c r="K24">
        <v>-567.073582645108</v>
      </c>
      <c r="L24" s="1">
        <v>-7.06794389762859</v>
      </c>
      <c r="M24">
        <v>-421.902745487961</v>
      </c>
      <c r="N24" s="7" t="s">
        <v>400</v>
      </c>
      <c r="O24">
        <v>-179308.666832385</v>
      </c>
      <c r="P24" s="7" t="s">
        <v>401</v>
      </c>
      <c r="Q24" s="7" t="s">
        <v>402</v>
      </c>
      <c r="R24">
        <v>1645.9</v>
      </c>
      <c r="S24">
        <v>0.35</v>
      </c>
      <c r="T24" s="7" t="s">
        <v>397</v>
      </c>
      <c r="U24" s="7" t="s">
        <v>403</v>
      </c>
      <c r="V24" s="7" t="s">
        <v>404</v>
      </c>
      <c r="W24" s="7" t="s">
        <v>405</v>
      </c>
      <c r="X24" s="7" t="s">
        <v>406</v>
      </c>
      <c r="Y24" s="7" t="s">
        <v>407</v>
      </c>
      <c r="Z24">
        <v>-414.834801590332</v>
      </c>
      <c r="AA24" s="8" t="s">
        <v>408</v>
      </c>
      <c r="AB24" s="7" t="s">
        <v>409</v>
      </c>
      <c r="AC24" s="7" t="s">
        <v>393</v>
      </c>
      <c r="AD24" s="7" t="s">
        <v>410</v>
      </c>
      <c r="AE24">
        <v>-68588.6613498194</v>
      </c>
      <c r="AF24" s="7" t="s">
        <v>411</v>
      </c>
      <c r="AK24">
        <v>-414.834801590332</v>
      </c>
      <c r="AL24" s="1">
        <v>-7.06794389762859</v>
      </c>
      <c r="AM24">
        <v>71.34</v>
      </c>
      <c r="AN24">
        <f t="shared" si="15"/>
        <v>70.6266</v>
      </c>
      <c r="AO24">
        <f t="shared" si="16"/>
        <v>-5042.27117656829</v>
      </c>
      <c r="AP24">
        <f t="shared" si="17"/>
        <v>-255110.414599619</v>
      </c>
      <c r="AQ24">
        <f t="shared" si="18"/>
        <v>-260152.685776187</v>
      </c>
      <c r="AR24">
        <f t="shared" si="19"/>
        <v>8976149.38373698</v>
      </c>
      <c r="AS24">
        <f t="shared" si="7"/>
        <v>112201.867296712</v>
      </c>
      <c r="AT24">
        <f t="shared" si="8"/>
        <v>0.0125</v>
      </c>
      <c r="AW24">
        <v>161.61</v>
      </c>
      <c r="AX24">
        <f t="shared" si="1"/>
        <v>163.2261</v>
      </c>
      <c r="AY24">
        <f t="shared" si="9"/>
        <v>-82570.709905695</v>
      </c>
      <c r="AZ24">
        <f t="shared" si="12"/>
        <v>-82023.1187219504</v>
      </c>
      <c r="BA24">
        <f t="shared" si="13"/>
        <v>-164593.828627645</v>
      </c>
      <c r="BB24">
        <f t="shared" si="14"/>
        <v>9430154.64023048</v>
      </c>
      <c r="BC24">
        <f t="shared" si="2"/>
        <v>117876.933002881</v>
      </c>
      <c r="BD24">
        <f t="shared" si="3"/>
        <v>0.0125</v>
      </c>
      <c r="BG24">
        <f t="shared" si="10"/>
        <v>-87612.9810822633</v>
      </c>
      <c r="BH24">
        <f t="shared" si="11"/>
        <v>9559318.44897201</v>
      </c>
      <c r="BI24">
        <f t="shared" si="4"/>
        <v>119491.48061215</v>
      </c>
      <c r="BJ24">
        <f t="shared" si="5"/>
        <v>0.0125</v>
      </c>
    </row>
    <row r="25" spans="1:62">
      <c r="A25" s="4">
        <v>45673</v>
      </c>
      <c r="B25">
        <v>-12.7467126491272</v>
      </c>
      <c r="C25" s="7" t="s">
        <v>412</v>
      </c>
      <c r="D25" s="7" t="s">
        <v>413</v>
      </c>
      <c r="E25">
        <v>0.86</v>
      </c>
      <c r="F25" s="7" t="s">
        <v>414</v>
      </c>
      <c r="G25" s="7" t="s">
        <v>415</v>
      </c>
      <c r="H25" s="7" t="s">
        <v>416</v>
      </c>
      <c r="I25" s="7" t="s">
        <v>417</v>
      </c>
      <c r="J25" s="7" t="s">
        <v>418</v>
      </c>
      <c r="K25">
        <v>-526.066072398224</v>
      </c>
      <c r="L25" s="9" t="s">
        <v>419</v>
      </c>
      <c r="M25">
        <v>-391.393157864279</v>
      </c>
      <c r="N25" s="7" t="s">
        <v>420</v>
      </c>
      <c r="O25" s="7" t="s">
        <v>421</v>
      </c>
      <c r="P25" s="7" t="s">
        <v>422</v>
      </c>
      <c r="Q25" s="7" t="s">
        <v>423</v>
      </c>
      <c r="R25" s="7" t="s">
        <v>424</v>
      </c>
      <c r="S25">
        <v>0.33</v>
      </c>
      <c r="T25" s="7" t="s">
        <v>414</v>
      </c>
      <c r="U25" s="7" t="s">
        <v>425</v>
      </c>
      <c r="V25">
        <v>542.19</v>
      </c>
      <c r="W25">
        <v>613.108452</v>
      </c>
      <c r="X25" s="7" t="s">
        <v>426</v>
      </c>
      <c r="Y25" s="7" t="s">
        <v>427</v>
      </c>
      <c r="Z25">
        <v>-421.902745487961</v>
      </c>
      <c r="AA25" s="2">
        <v>-27.0038653854686</v>
      </c>
      <c r="AB25" s="7" t="s">
        <v>428</v>
      </c>
      <c r="AC25" s="7" t="s">
        <v>409</v>
      </c>
      <c r="AD25" s="7" t="s">
        <v>429</v>
      </c>
      <c r="AE25">
        <v>-58471.2516763751</v>
      </c>
      <c r="AF25" s="7" t="s">
        <v>430</v>
      </c>
      <c r="AK25">
        <v>-421.902745487961</v>
      </c>
      <c r="AL25" s="9" t="s">
        <v>419</v>
      </c>
      <c r="AM25">
        <v>70.83</v>
      </c>
      <c r="AN25">
        <f t="shared" si="15"/>
        <v>71.5383</v>
      </c>
      <c r="AO25">
        <f t="shared" si="16"/>
        <v>-21609.9409138536</v>
      </c>
      <c r="AP25">
        <f t="shared" si="17"/>
        <v>211565.748811071</v>
      </c>
      <c r="AQ25">
        <f t="shared" si="18"/>
        <v>189955.807897218</v>
      </c>
      <c r="AR25">
        <f t="shared" si="19"/>
        <v>9166105.1916342</v>
      </c>
      <c r="AS25">
        <f t="shared" si="7"/>
        <v>114576.314895427</v>
      </c>
      <c r="AT25">
        <f t="shared" si="8"/>
        <v>0.0125</v>
      </c>
      <c r="AW25">
        <v>162.37</v>
      </c>
      <c r="AX25">
        <f t="shared" si="1"/>
        <v>163.9937</v>
      </c>
      <c r="AY25">
        <f t="shared" si="9"/>
        <v>43846.1762263857</v>
      </c>
      <c r="AZ25">
        <f t="shared" si="12"/>
        <v>134927.585345713</v>
      </c>
      <c r="BA25">
        <f t="shared" si="13"/>
        <v>178773.761572099</v>
      </c>
      <c r="BB25">
        <f t="shared" si="14"/>
        <v>9608928.40180258</v>
      </c>
      <c r="BC25">
        <f t="shared" si="2"/>
        <v>120111.605022532</v>
      </c>
      <c r="BD25">
        <f t="shared" si="3"/>
        <v>0.0125</v>
      </c>
      <c r="BG25">
        <f t="shared" si="10"/>
        <v>22236.2353125322</v>
      </c>
      <c r="BH25">
        <f t="shared" si="11"/>
        <v>9581554.68428455</v>
      </c>
      <c r="BI25">
        <f t="shared" si="4"/>
        <v>119769.433553557</v>
      </c>
      <c r="BJ25">
        <f t="shared" si="5"/>
        <v>0.0125</v>
      </c>
    </row>
    <row r="26" spans="1:62">
      <c r="A26" s="4">
        <v>45674</v>
      </c>
      <c r="B26">
        <v>-11.9809607129771</v>
      </c>
      <c r="C26" s="7" t="s">
        <v>412</v>
      </c>
      <c r="D26" s="7" t="s">
        <v>413</v>
      </c>
      <c r="E26">
        <v>0.75</v>
      </c>
      <c r="F26" s="7" t="s">
        <v>431</v>
      </c>
      <c r="G26" s="7" t="s">
        <v>432</v>
      </c>
      <c r="H26">
        <v>465.975</v>
      </c>
      <c r="I26" s="7" t="s">
        <v>433</v>
      </c>
      <c r="J26" s="7" t="s">
        <v>434</v>
      </c>
      <c r="K26">
        <v>-570.122434870804</v>
      </c>
      <c r="L26" s="1">
        <v>-32.7779336795995</v>
      </c>
      <c r="M26">
        <v>-424.171091543878</v>
      </c>
      <c r="N26" s="7" t="s">
        <v>435</v>
      </c>
      <c r="O26">
        <v>0</v>
      </c>
      <c r="P26" s="7" t="s">
        <v>436</v>
      </c>
      <c r="Q26">
        <v>1.6407</v>
      </c>
      <c r="R26">
        <v>1640.7</v>
      </c>
      <c r="S26">
        <v>0.32</v>
      </c>
      <c r="T26" s="7" t="s">
        <v>431</v>
      </c>
      <c r="U26" s="7" t="s">
        <v>437</v>
      </c>
      <c r="V26">
        <v>525.024</v>
      </c>
      <c r="W26">
        <v>593.6971392</v>
      </c>
      <c r="X26" s="7" t="s">
        <v>438</v>
      </c>
      <c r="Y26" s="7" t="s">
        <v>439</v>
      </c>
      <c r="Z26">
        <v>-391.393157864279</v>
      </c>
      <c r="AA26" s="2">
        <v>-69.6314060691379</v>
      </c>
      <c r="AB26" s="7" t="s">
        <v>440</v>
      </c>
      <c r="AC26" s="7" t="s">
        <v>428</v>
      </c>
      <c r="AD26" s="7" t="s">
        <v>441</v>
      </c>
      <c r="AE26">
        <v>-30358.5279336408</v>
      </c>
      <c r="AF26" s="7" t="s">
        <v>442</v>
      </c>
      <c r="AK26">
        <v>-391.393157864279</v>
      </c>
      <c r="AL26" s="1">
        <v>-32.7779336795995</v>
      </c>
      <c r="AM26">
        <v>69.36</v>
      </c>
      <c r="AN26">
        <f t="shared" si="15"/>
        <v>68.6664</v>
      </c>
      <c r="AO26">
        <f t="shared" si="16"/>
        <v>-22734.7748001703</v>
      </c>
      <c r="AP26">
        <f t="shared" si="17"/>
        <v>620197.035867302</v>
      </c>
      <c r="AQ26">
        <f t="shared" si="18"/>
        <v>597462.261067132</v>
      </c>
      <c r="AR26">
        <f t="shared" si="19"/>
        <v>9763567.45270133</v>
      </c>
      <c r="AS26">
        <f t="shared" si="7"/>
        <v>122044.593158767</v>
      </c>
      <c r="AT26">
        <f t="shared" si="8"/>
        <v>0.0125</v>
      </c>
      <c r="AW26">
        <v>162.49</v>
      </c>
      <c r="AX26">
        <f t="shared" si="1"/>
        <v>164.1149</v>
      </c>
      <c r="AY26">
        <f t="shared" si="9"/>
        <v>113144.071721742</v>
      </c>
      <c r="AZ26">
        <f t="shared" si="12"/>
        <v>27435.4645399303</v>
      </c>
      <c r="BA26">
        <f t="shared" si="13"/>
        <v>140579.536261672</v>
      </c>
      <c r="BB26">
        <f t="shared" si="14"/>
        <v>9749507.93806425</v>
      </c>
      <c r="BC26">
        <f t="shared" si="2"/>
        <v>121868.849225803</v>
      </c>
      <c r="BD26">
        <f t="shared" si="3"/>
        <v>0.0125</v>
      </c>
      <c r="BG26">
        <f t="shared" si="10"/>
        <v>90409.2969215716</v>
      </c>
      <c r="BH26">
        <f t="shared" si="11"/>
        <v>9671963.98120612</v>
      </c>
      <c r="BI26">
        <f t="shared" si="4"/>
        <v>120899.549765076</v>
      </c>
      <c r="BJ26">
        <f t="shared" si="5"/>
        <v>0.0125</v>
      </c>
    </row>
    <row r="27" spans="1:62">
      <c r="A27" s="4">
        <v>45677</v>
      </c>
      <c r="B27">
        <v>-11.3964539363892</v>
      </c>
      <c r="C27">
        <v>0.62</v>
      </c>
      <c r="D27">
        <v>620</v>
      </c>
      <c r="E27">
        <v>0.59</v>
      </c>
      <c r="F27" s="7" t="s">
        <v>443</v>
      </c>
      <c r="G27" s="7" t="s">
        <v>444</v>
      </c>
      <c r="H27" s="7" t="s">
        <v>445</v>
      </c>
      <c r="I27" s="7" t="s">
        <v>446</v>
      </c>
      <c r="J27" s="7" t="s">
        <v>447</v>
      </c>
      <c r="K27">
        <v>-698.90390617358</v>
      </c>
      <c r="L27" s="1">
        <v>-95.8134146492647</v>
      </c>
      <c r="M27">
        <v>-519.984506193143</v>
      </c>
      <c r="N27" s="7" t="s">
        <v>448</v>
      </c>
      <c r="O27">
        <v>67597.98580511</v>
      </c>
      <c r="P27" s="7" t="s">
        <v>449</v>
      </c>
      <c r="Q27">
        <v>1.6413</v>
      </c>
      <c r="R27">
        <v>1641.3</v>
      </c>
      <c r="S27">
        <v>0.31</v>
      </c>
      <c r="T27" s="7" t="s">
        <v>443</v>
      </c>
      <c r="U27" s="7" t="s">
        <v>450</v>
      </c>
      <c r="V27">
        <v>508.803</v>
      </c>
      <c r="W27" s="7" t="s">
        <v>451</v>
      </c>
      <c r="X27" s="7" t="s">
        <v>452</v>
      </c>
      <c r="Y27" s="7" t="s">
        <v>453</v>
      </c>
      <c r="Z27">
        <v>-424.171091543878</v>
      </c>
      <c r="AA27" s="2">
        <v>-72.5586644241091</v>
      </c>
      <c r="AB27" s="7" t="s">
        <v>454</v>
      </c>
      <c r="AC27" s="7" t="s">
        <v>440</v>
      </c>
      <c r="AD27" s="7" t="s">
        <v>455</v>
      </c>
      <c r="AE27" s="7" t="s">
        <v>456</v>
      </c>
      <c r="AF27" s="7" t="s">
        <v>457</v>
      </c>
      <c r="AK27">
        <v>-424.171091543878</v>
      </c>
      <c r="AL27" s="1">
        <v>-95.8134146492647</v>
      </c>
      <c r="AM27">
        <v>68.89</v>
      </c>
      <c r="AN27">
        <f t="shared" si="15"/>
        <v>68.2011</v>
      </c>
      <c r="AO27">
        <f t="shared" si="16"/>
        <v>-66005.8613518788</v>
      </c>
      <c r="AP27">
        <f t="shared" si="17"/>
        <v>183954.784196211</v>
      </c>
      <c r="AQ27">
        <f t="shared" si="18"/>
        <v>117948.922844332</v>
      </c>
      <c r="AR27">
        <f t="shared" si="19"/>
        <v>9881516.37554566</v>
      </c>
      <c r="AS27">
        <f t="shared" si="7"/>
        <v>123518.954694321</v>
      </c>
      <c r="AT27">
        <f t="shared" si="8"/>
        <v>0.0125</v>
      </c>
      <c r="AW27">
        <v>163.19</v>
      </c>
      <c r="AX27">
        <f t="shared" si="1"/>
        <v>164.8219</v>
      </c>
      <c r="AY27">
        <f t="shared" si="9"/>
        <v>118408.484473704</v>
      </c>
      <c r="AZ27">
        <f t="shared" si="12"/>
        <v>141137.504046424</v>
      </c>
      <c r="BA27">
        <f t="shared" si="13"/>
        <v>259545.988520128</v>
      </c>
      <c r="BB27">
        <f t="shared" si="14"/>
        <v>10009053.9265844</v>
      </c>
      <c r="BC27">
        <f t="shared" si="2"/>
        <v>125113.174082305</v>
      </c>
      <c r="BD27">
        <f t="shared" si="3"/>
        <v>0.0125</v>
      </c>
      <c r="BG27">
        <f t="shared" si="10"/>
        <v>52402.6231218249</v>
      </c>
      <c r="BH27">
        <f t="shared" si="11"/>
        <v>9724366.60432794</v>
      </c>
      <c r="BI27">
        <f t="shared" si="4"/>
        <v>121554.582554099</v>
      </c>
      <c r="BJ27">
        <f t="shared" si="5"/>
        <v>0.0125</v>
      </c>
    </row>
    <row r="28" spans="1:62">
      <c r="A28" s="4">
        <v>45678</v>
      </c>
      <c r="B28">
        <v>-11.3714112526879</v>
      </c>
      <c r="C28">
        <v>0.6267</v>
      </c>
      <c r="D28">
        <v>626.7</v>
      </c>
      <c r="E28">
        <v>0.47</v>
      </c>
      <c r="F28" s="7" t="s">
        <v>458</v>
      </c>
      <c r="G28" s="7" t="s">
        <v>459</v>
      </c>
      <c r="H28">
        <v>294.549</v>
      </c>
      <c r="I28" s="7" t="s">
        <v>460</v>
      </c>
      <c r="J28" s="7" t="s">
        <v>461</v>
      </c>
      <c r="K28">
        <v>-879.343106492532</v>
      </c>
      <c r="L28" s="1">
        <v>-134.2467650373</v>
      </c>
      <c r="M28">
        <v>-654.231271230444</v>
      </c>
      <c r="N28" s="7" t="s">
        <v>462</v>
      </c>
      <c r="O28">
        <v>-438334.951724398</v>
      </c>
      <c r="P28" s="7" t="s">
        <v>463</v>
      </c>
      <c r="Q28">
        <v>1.6447</v>
      </c>
      <c r="R28">
        <v>1644.7</v>
      </c>
      <c r="S28">
        <v>0.31</v>
      </c>
      <c r="T28" s="7" t="s">
        <v>458</v>
      </c>
      <c r="U28" s="7" t="s">
        <v>464</v>
      </c>
      <c r="V28">
        <v>509.857</v>
      </c>
      <c r="W28">
        <v>576.5462956</v>
      </c>
      <c r="X28" s="7" t="s">
        <v>465</v>
      </c>
      <c r="Y28" s="7" t="s">
        <v>466</v>
      </c>
      <c r="Z28">
        <v>-519.984506193143</v>
      </c>
      <c r="AA28" s="2">
        <v>-18.8665318898448</v>
      </c>
      <c r="AB28" s="7" t="s">
        <v>467</v>
      </c>
      <c r="AC28" s="7" t="s">
        <v>454</v>
      </c>
      <c r="AD28" s="7" t="s">
        <v>468</v>
      </c>
      <c r="AE28" s="7" t="s">
        <v>469</v>
      </c>
      <c r="AF28" s="7" t="s">
        <v>470</v>
      </c>
      <c r="AK28">
        <v>-519.984506193143</v>
      </c>
      <c r="AL28" s="1">
        <v>-134.2467650373</v>
      </c>
      <c r="AM28">
        <v>69.505</v>
      </c>
      <c r="AN28">
        <f t="shared" si="15"/>
        <v>68.80995</v>
      </c>
      <c r="AO28">
        <f t="shared" si="16"/>
        <v>-93308.2140391747</v>
      </c>
      <c r="AP28">
        <f t="shared" si="17"/>
        <v>-260865.221299483</v>
      </c>
      <c r="AQ28">
        <f t="shared" si="18"/>
        <v>-354173.435338657</v>
      </c>
      <c r="AR28">
        <f t="shared" si="19"/>
        <v>9527342.940207</v>
      </c>
      <c r="AS28">
        <f t="shared" si="7"/>
        <v>119091.786752588</v>
      </c>
      <c r="AT28">
        <f t="shared" si="8"/>
        <v>0.0125</v>
      </c>
      <c r="AW28">
        <v>163.38</v>
      </c>
      <c r="AX28">
        <f t="shared" si="1"/>
        <v>165.0138</v>
      </c>
      <c r="AY28">
        <f t="shared" si="9"/>
        <v>30824.1398016286</v>
      </c>
      <c r="AZ28">
        <f t="shared" si="12"/>
        <v>25078.7839451792</v>
      </c>
      <c r="BA28">
        <f t="shared" si="13"/>
        <v>55902.9237468078</v>
      </c>
      <c r="BB28">
        <f t="shared" si="14"/>
        <v>10064956.8503312</v>
      </c>
      <c r="BC28">
        <f t="shared" si="2"/>
        <v>125811.96062914</v>
      </c>
      <c r="BD28">
        <f t="shared" si="3"/>
        <v>0.0125</v>
      </c>
      <c r="BG28">
        <f t="shared" si="10"/>
        <v>-62484.0742375461</v>
      </c>
      <c r="BH28">
        <f t="shared" si="11"/>
        <v>9661882.5300904</v>
      </c>
      <c r="BI28">
        <f t="shared" si="4"/>
        <v>120773.53162613</v>
      </c>
      <c r="BJ28">
        <f t="shared" si="5"/>
        <v>0.0125</v>
      </c>
    </row>
    <row r="29" spans="1:62">
      <c r="A29" s="4">
        <v>45679</v>
      </c>
      <c r="B29">
        <v>-7.43045356585109</v>
      </c>
      <c r="C29">
        <v>0.62795</v>
      </c>
      <c r="D29">
        <v>627.95</v>
      </c>
      <c r="E29">
        <v>0.51</v>
      </c>
      <c r="F29" s="7" t="s">
        <v>471</v>
      </c>
      <c r="G29" s="7" t="s">
        <v>472</v>
      </c>
      <c r="H29">
        <v>320.2545</v>
      </c>
      <c r="I29">
        <v>207.68504325</v>
      </c>
      <c r="J29" s="7" t="s">
        <v>473</v>
      </c>
      <c r="K29">
        <v>-533.621847994963</v>
      </c>
      <c r="L29" s="9" t="s">
        <v>474</v>
      </c>
      <c r="M29">
        <v>-397.014654908252</v>
      </c>
      <c r="N29" s="7" t="s">
        <v>475</v>
      </c>
      <c r="O29">
        <v>-49626.8318635316</v>
      </c>
      <c r="P29" s="7" t="s">
        <v>476</v>
      </c>
      <c r="Q29">
        <v>1.6457</v>
      </c>
      <c r="R29">
        <v>1645.7</v>
      </c>
      <c r="S29">
        <v>0.3</v>
      </c>
      <c r="T29" s="7" t="s">
        <v>471</v>
      </c>
      <c r="U29" s="7" t="s">
        <v>477</v>
      </c>
      <c r="V29">
        <v>493.71</v>
      </c>
      <c r="W29">
        <v>558.287268</v>
      </c>
      <c r="X29" s="7" t="s">
        <v>478</v>
      </c>
      <c r="Y29" s="7" t="s">
        <v>479</v>
      </c>
      <c r="Z29">
        <v>-654.231271230444</v>
      </c>
      <c r="AA29" s="8" t="s">
        <v>480</v>
      </c>
      <c r="AB29" s="7" t="s">
        <v>481</v>
      </c>
      <c r="AC29" s="7" t="s">
        <v>467</v>
      </c>
      <c r="AD29" s="7" t="s">
        <v>482</v>
      </c>
      <c r="AE29" s="7" t="s">
        <v>483</v>
      </c>
      <c r="AF29" s="7" t="s">
        <v>484</v>
      </c>
      <c r="AK29">
        <v>-654.231271230444</v>
      </c>
      <c r="AL29" s="9" t="s">
        <v>474</v>
      </c>
      <c r="AM29">
        <v>69.335</v>
      </c>
      <c r="AN29">
        <f t="shared" si="15"/>
        <v>70.02835</v>
      </c>
      <c r="AO29">
        <f t="shared" si="16"/>
        <v>-178341.14092699</v>
      </c>
      <c r="AP29">
        <f t="shared" si="17"/>
        <v>88397.3660528352</v>
      </c>
      <c r="AQ29">
        <f t="shared" si="18"/>
        <v>-89943.7748741547</v>
      </c>
      <c r="AR29">
        <f t="shared" si="19"/>
        <v>9437399.16533285</v>
      </c>
      <c r="AS29">
        <f t="shared" si="7"/>
        <v>117967.489566661</v>
      </c>
      <c r="AT29">
        <f t="shared" si="8"/>
        <v>0.0125</v>
      </c>
      <c r="AW29">
        <v>164.22</v>
      </c>
      <c r="AX29">
        <f t="shared" si="1"/>
        <v>165.8622</v>
      </c>
      <c r="AY29">
        <f t="shared" si="9"/>
        <v>-90233.0932621083</v>
      </c>
      <c r="AZ29">
        <f t="shared" si="12"/>
        <v>49925.3456413844</v>
      </c>
      <c r="BA29">
        <f t="shared" si="13"/>
        <v>-40307.7476207239</v>
      </c>
      <c r="BB29">
        <f t="shared" si="14"/>
        <v>10024649.1027105</v>
      </c>
      <c r="BC29">
        <f t="shared" si="2"/>
        <v>125308.113783881</v>
      </c>
      <c r="BD29">
        <f t="shared" si="3"/>
        <v>0.0125</v>
      </c>
      <c r="BG29">
        <f t="shared" si="10"/>
        <v>-268574.234189098</v>
      </c>
      <c r="BH29">
        <f t="shared" si="11"/>
        <v>9393308.2959013</v>
      </c>
      <c r="BI29">
        <f t="shared" si="4"/>
        <v>117416.353698766</v>
      </c>
      <c r="BJ29">
        <f t="shared" si="5"/>
        <v>0.0125</v>
      </c>
    </row>
    <row r="30" spans="1:62">
      <c r="A30" s="4">
        <v>45680</v>
      </c>
      <c r="B30">
        <v>-5.35661128522984</v>
      </c>
      <c r="C30">
        <v>0.62895</v>
      </c>
      <c r="D30">
        <v>628.95</v>
      </c>
      <c r="E30">
        <v>0.55</v>
      </c>
      <c r="F30" s="7" t="s">
        <v>485</v>
      </c>
      <c r="G30" s="7" t="s">
        <v>486</v>
      </c>
      <c r="H30" s="7" t="s">
        <v>487</v>
      </c>
      <c r="I30" s="7" t="s">
        <v>488</v>
      </c>
      <c r="J30" s="7" t="s">
        <v>489</v>
      </c>
      <c r="K30">
        <v>-363.66332487985</v>
      </c>
      <c r="L30" s="9" t="s">
        <v>490</v>
      </c>
      <c r="M30">
        <v>-270.565513710609</v>
      </c>
      <c r="N30" s="7" t="s">
        <v>491</v>
      </c>
      <c r="O30">
        <v>-27056.5513710612</v>
      </c>
      <c r="P30" s="7" t="s">
        <v>492</v>
      </c>
      <c r="Q30">
        <v>1.6532</v>
      </c>
      <c r="R30">
        <v>1653.2</v>
      </c>
      <c r="S30">
        <v>0.33</v>
      </c>
      <c r="T30" s="7" t="s">
        <v>485</v>
      </c>
      <c r="U30" s="7" t="s">
        <v>493</v>
      </c>
      <c r="V30">
        <v>545.556</v>
      </c>
      <c r="W30">
        <v>616.9147248</v>
      </c>
      <c r="X30" s="7" t="s">
        <v>494</v>
      </c>
      <c r="Y30" s="7" t="s">
        <v>495</v>
      </c>
      <c r="Z30">
        <v>-397.014654908252</v>
      </c>
      <c r="AA30" s="8" t="s">
        <v>496</v>
      </c>
      <c r="AB30" s="7" t="s">
        <v>497</v>
      </c>
      <c r="AC30" s="7" t="s">
        <v>481</v>
      </c>
      <c r="AD30" s="7" t="s">
        <v>498</v>
      </c>
      <c r="AE30" s="7" t="s">
        <v>499</v>
      </c>
      <c r="AF30" s="7" t="s">
        <v>500</v>
      </c>
      <c r="AK30">
        <v>-397.014654908252</v>
      </c>
      <c r="AL30" s="9" t="s">
        <v>490</v>
      </c>
      <c r="AM30">
        <v>69.475</v>
      </c>
      <c r="AN30">
        <f t="shared" si="15"/>
        <v>70.16975</v>
      </c>
      <c r="AO30">
        <f t="shared" si="16"/>
        <v>-87850.5408470624</v>
      </c>
      <c r="AP30">
        <f t="shared" si="17"/>
        <v>-91592.3779722625</v>
      </c>
      <c r="AQ30">
        <f t="shared" si="18"/>
        <v>-179442.918819325</v>
      </c>
      <c r="AR30">
        <f t="shared" si="19"/>
        <v>9257956.24651353</v>
      </c>
      <c r="AS30">
        <f t="shared" si="7"/>
        <v>115724.453081419</v>
      </c>
      <c r="AT30">
        <f t="shared" si="8"/>
        <v>0.0125</v>
      </c>
      <c r="AW30">
        <v>164.23</v>
      </c>
      <c r="AX30">
        <f t="shared" si="1"/>
        <v>165.8723</v>
      </c>
      <c r="AY30">
        <f t="shared" si="9"/>
        <v>-45482.0000516566</v>
      </c>
      <c r="AZ30">
        <f t="shared" si="12"/>
        <v>405.684033974804</v>
      </c>
      <c r="BA30">
        <f t="shared" si="13"/>
        <v>-45076.3160176818</v>
      </c>
      <c r="BB30">
        <f t="shared" si="14"/>
        <v>9979572.78669278</v>
      </c>
      <c r="BC30">
        <f t="shared" si="2"/>
        <v>124744.65983366</v>
      </c>
      <c r="BD30">
        <f t="shared" si="3"/>
        <v>0.0125</v>
      </c>
      <c r="BG30">
        <f t="shared" si="10"/>
        <v>-133332.540898719</v>
      </c>
      <c r="BH30">
        <f t="shared" si="11"/>
        <v>9259975.75500258</v>
      </c>
      <c r="BI30">
        <f t="shared" si="4"/>
        <v>115749.696937532</v>
      </c>
      <c r="BJ30">
        <f t="shared" si="5"/>
        <v>0.0125</v>
      </c>
    </row>
    <row r="31" spans="1:62">
      <c r="A31" s="4">
        <v>45681</v>
      </c>
      <c r="B31">
        <v>-3.76647063559006</v>
      </c>
      <c r="C31" s="7" t="s">
        <v>501</v>
      </c>
      <c r="D31">
        <v>631.45</v>
      </c>
      <c r="E31">
        <v>0.6</v>
      </c>
      <c r="F31" s="7" t="s">
        <v>502</v>
      </c>
      <c r="G31" s="7" t="s">
        <v>503</v>
      </c>
      <c r="H31">
        <v>378.87</v>
      </c>
      <c r="I31">
        <v>245.697195</v>
      </c>
      <c r="J31" s="7" t="s">
        <v>504</v>
      </c>
      <c r="K31">
        <v>-235.872077139748</v>
      </c>
      <c r="L31" s="9" t="s">
        <v>505</v>
      </c>
      <c r="M31">
        <v>-175.488825391972</v>
      </c>
      <c r="N31" s="7" t="s">
        <v>506</v>
      </c>
      <c r="O31">
        <v>-43872.2063479932</v>
      </c>
      <c r="P31" s="7" t="s">
        <v>507</v>
      </c>
      <c r="Q31">
        <v>1.6507</v>
      </c>
      <c r="R31">
        <v>1650.7</v>
      </c>
      <c r="S31">
        <v>0.34</v>
      </c>
      <c r="T31" s="7" t="s">
        <v>502</v>
      </c>
      <c r="U31" s="7" t="s">
        <v>508</v>
      </c>
      <c r="V31">
        <v>561.238</v>
      </c>
      <c r="W31" s="7" t="s">
        <v>509</v>
      </c>
      <c r="X31" s="7" t="s">
        <v>510</v>
      </c>
      <c r="Y31" s="7" t="s">
        <v>511</v>
      </c>
      <c r="Z31">
        <v>-270.565513710609</v>
      </c>
      <c r="AA31" s="8" t="s">
        <v>512</v>
      </c>
      <c r="AB31" s="7" t="s">
        <v>513</v>
      </c>
      <c r="AC31" s="7" t="s">
        <v>497</v>
      </c>
      <c r="AD31" s="7" t="s">
        <v>514</v>
      </c>
      <c r="AE31">
        <v>-56069.36857195</v>
      </c>
      <c r="AF31" s="7" t="s">
        <v>515</v>
      </c>
      <c r="AK31">
        <v>-270.565513710609</v>
      </c>
      <c r="AL31" s="9" t="s">
        <v>505</v>
      </c>
      <c r="AM31">
        <v>69.21</v>
      </c>
      <c r="AN31">
        <f t="shared" si="15"/>
        <v>69.9021</v>
      </c>
      <c r="AO31">
        <f t="shared" si="16"/>
        <v>-65802.5759853277</v>
      </c>
      <c r="AP31">
        <f t="shared" si="17"/>
        <v>105208.883550687</v>
      </c>
      <c r="AQ31">
        <f t="shared" si="18"/>
        <v>39406.3075653593</v>
      </c>
      <c r="AR31">
        <f t="shared" si="19"/>
        <v>9297362.55407888</v>
      </c>
      <c r="AS31">
        <f t="shared" si="7"/>
        <v>116217.031925986</v>
      </c>
      <c r="AT31">
        <f t="shared" si="8"/>
        <v>0.0125</v>
      </c>
      <c r="AW31">
        <v>163.91</v>
      </c>
      <c r="AX31">
        <f t="shared" si="1"/>
        <v>165.5491</v>
      </c>
      <c r="AY31">
        <f t="shared" si="9"/>
        <v>-165661.399920221</v>
      </c>
      <c r="AZ31">
        <f t="shared" si="12"/>
        <v>-30564.7595316542</v>
      </c>
      <c r="BA31">
        <f t="shared" si="13"/>
        <v>-196226.159451876</v>
      </c>
      <c r="BB31">
        <f t="shared" si="14"/>
        <v>9783346.62724091</v>
      </c>
      <c r="BC31">
        <f t="shared" si="2"/>
        <v>122291.832840511</v>
      </c>
      <c r="BD31">
        <f t="shared" si="3"/>
        <v>0.0125</v>
      </c>
      <c r="BG31">
        <f t="shared" si="10"/>
        <v>-231463.975905549</v>
      </c>
      <c r="BH31">
        <f t="shared" si="11"/>
        <v>9028511.77909703</v>
      </c>
      <c r="BI31">
        <f t="shared" si="4"/>
        <v>112856.397238713</v>
      </c>
      <c r="BJ31">
        <f t="shared" si="5"/>
        <v>0.0125</v>
      </c>
    </row>
    <row r="32" spans="1:62">
      <c r="A32" s="4">
        <v>45684</v>
      </c>
      <c r="B32">
        <v>-1.67217922256908</v>
      </c>
      <c r="C32" s="7" t="s">
        <v>516</v>
      </c>
      <c r="D32" s="7" t="s">
        <v>517</v>
      </c>
      <c r="E32">
        <v>0.63</v>
      </c>
      <c r="F32" s="7" t="s">
        <v>518</v>
      </c>
      <c r="G32" s="7" t="s">
        <v>519</v>
      </c>
      <c r="H32" s="7" t="s">
        <v>520</v>
      </c>
      <c r="I32" s="7" t="s">
        <v>521</v>
      </c>
      <c r="J32" s="7" t="s">
        <v>522</v>
      </c>
      <c r="K32">
        <v>-102.047105941774</v>
      </c>
      <c r="L32" s="9" t="s">
        <v>523</v>
      </c>
      <c r="M32">
        <v>-75.9230468206801</v>
      </c>
      <c r="N32" s="7" t="s">
        <v>524</v>
      </c>
      <c r="O32" s="7" t="s">
        <v>525</v>
      </c>
      <c r="P32" s="7" t="s">
        <v>526</v>
      </c>
      <c r="Q32">
        <v>1.6491</v>
      </c>
      <c r="R32">
        <v>1649.1</v>
      </c>
      <c r="S32">
        <v>0.34</v>
      </c>
      <c r="T32" s="7" t="s">
        <v>518</v>
      </c>
      <c r="U32" s="7" t="s">
        <v>527</v>
      </c>
      <c r="V32">
        <v>560.694</v>
      </c>
      <c r="W32">
        <v>634.0327752</v>
      </c>
      <c r="X32" s="7" t="s">
        <v>528</v>
      </c>
      <c r="Y32" s="7" t="s">
        <v>529</v>
      </c>
      <c r="Z32">
        <v>-175.488825391972</v>
      </c>
      <c r="AA32" s="2">
        <v>-1.57893521131546</v>
      </c>
      <c r="AB32" s="7" t="s">
        <v>530</v>
      </c>
      <c r="AC32" s="7" t="s">
        <v>513</v>
      </c>
      <c r="AD32" s="7" t="s">
        <v>531</v>
      </c>
      <c r="AE32">
        <v>-35631.7662522368</v>
      </c>
      <c r="AF32" s="7" t="s">
        <v>532</v>
      </c>
      <c r="AK32">
        <v>-175.488825391972</v>
      </c>
      <c r="AL32" s="9" t="s">
        <v>523</v>
      </c>
      <c r="AM32">
        <v>69.7</v>
      </c>
      <c r="AN32">
        <f t="shared" si="15"/>
        <v>70.397</v>
      </c>
      <c r="AO32">
        <f t="shared" si="16"/>
        <v>-69397.3476641913</v>
      </c>
      <c r="AP32">
        <f t="shared" si="17"/>
        <v>-132577.101718201</v>
      </c>
      <c r="AQ32">
        <f t="shared" si="18"/>
        <v>-201974.449382392</v>
      </c>
      <c r="AR32">
        <f t="shared" si="19"/>
        <v>9095388.10469649</v>
      </c>
      <c r="AS32">
        <f t="shared" si="7"/>
        <v>113692.351308706</v>
      </c>
      <c r="AT32">
        <f t="shared" si="8"/>
        <v>0.0125</v>
      </c>
      <c r="AW32">
        <v>163.76</v>
      </c>
      <c r="AX32">
        <f t="shared" si="1"/>
        <v>165.3976</v>
      </c>
      <c r="AY32">
        <f t="shared" si="9"/>
        <v>2585.66430205018</v>
      </c>
      <c r="AZ32">
        <f t="shared" si="12"/>
        <v>-18481.3441692013</v>
      </c>
      <c r="BA32">
        <f t="shared" si="13"/>
        <v>-15895.6798671511</v>
      </c>
      <c r="BB32">
        <f t="shared" si="14"/>
        <v>9767450.94737376</v>
      </c>
      <c r="BC32">
        <f t="shared" si="2"/>
        <v>122093.136842172</v>
      </c>
      <c r="BD32">
        <f t="shared" si="3"/>
        <v>0.0125</v>
      </c>
      <c r="BG32">
        <f t="shared" si="10"/>
        <v>-66811.6833621411</v>
      </c>
      <c r="BH32">
        <f t="shared" si="11"/>
        <v>8961700.09573489</v>
      </c>
      <c r="BI32">
        <f t="shared" si="4"/>
        <v>112021.251196686</v>
      </c>
      <c r="BJ32">
        <f t="shared" si="5"/>
        <v>0.0125</v>
      </c>
    </row>
    <row r="33" spans="1:62">
      <c r="A33" s="4">
        <v>45685</v>
      </c>
      <c r="B33">
        <v>-1.3543590071678</v>
      </c>
      <c r="C33">
        <v>0.62555</v>
      </c>
      <c r="D33" s="7" t="s">
        <v>533</v>
      </c>
      <c r="E33">
        <v>0.64</v>
      </c>
      <c r="F33" s="7" t="s">
        <v>534</v>
      </c>
      <c r="G33" s="7" t="s">
        <v>535</v>
      </c>
      <c r="H33" s="7" t="s">
        <v>536</v>
      </c>
      <c r="I33">
        <v>259.628272</v>
      </c>
      <c r="J33" s="7" t="s">
        <v>537</v>
      </c>
      <c r="K33">
        <v>-82.1689501649721</v>
      </c>
      <c r="L33" s="9" t="s">
        <v>538</v>
      </c>
      <c r="M33">
        <v>-61.1336989227392</v>
      </c>
      <c r="N33" s="7" t="s">
        <v>539</v>
      </c>
      <c r="O33" s="7" t="s">
        <v>540</v>
      </c>
      <c r="P33" s="7" t="s">
        <v>541</v>
      </c>
      <c r="Q33" s="7" t="s">
        <v>542</v>
      </c>
      <c r="R33" s="7" t="s">
        <v>543</v>
      </c>
      <c r="S33">
        <v>0.33</v>
      </c>
      <c r="T33" s="7" t="s">
        <v>534</v>
      </c>
      <c r="U33" s="7" t="s">
        <v>544</v>
      </c>
      <c r="V33" s="7" t="s">
        <v>545</v>
      </c>
      <c r="W33" s="7" t="s">
        <v>546</v>
      </c>
      <c r="X33" s="7" t="s">
        <v>547</v>
      </c>
      <c r="Y33" s="7" t="s">
        <v>548</v>
      </c>
      <c r="Z33">
        <v>-75.9230468206801</v>
      </c>
      <c r="AA33" s="2">
        <v>-31.7876002209246</v>
      </c>
      <c r="AB33" s="7" t="s">
        <v>549</v>
      </c>
      <c r="AC33" s="7" t="s">
        <v>530</v>
      </c>
      <c r="AD33" s="7" t="s">
        <v>550</v>
      </c>
      <c r="AE33" s="7" t="s">
        <v>551</v>
      </c>
      <c r="AF33" s="7" t="s">
        <v>552</v>
      </c>
      <c r="AK33">
        <v>-75.9230468206801</v>
      </c>
      <c r="AL33" s="9" t="s">
        <v>538</v>
      </c>
      <c r="AM33">
        <v>69.96</v>
      </c>
      <c r="AN33">
        <f t="shared" si="15"/>
        <v>70.6596</v>
      </c>
      <c r="AO33">
        <f t="shared" si="16"/>
        <v>-10346.6277893994</v>
      </c>
      <c r="AP33">
        <f t="shared" si="17"/>
        <v>-45627.0946019111</v>
      </c>
      <c r="AQ33">
        <f t="shared" si="18"/>
        <v>-55973.7223913106</v>
      </c>
      <c r="AR33">
        <f t="shared" si="19"/>
        <v>9039414.38230518</v>
      </c>
      <c r="AS33">
        <f t="shared" si="7"/>
        <v>112992.679778815</v>
      </c>
      <c r="AT33">
        <f t="shared" si="8"/>
        <v>0.0125</v>
      </c>
      <c r="AW33">
        <v>163.42</v>
      </c>
      <c r="AX33">
        <f t="shared" si="1"/>
        <v>165.0542</v>
      </c>
      <c r="AY33">
        <f t="shared" si="9"/>
        <v>51947.2962810348</v>
      </c>
      <c r="AZ33">
        <f t="shared" si="12"/>
        <v>-76254.3412578527</v>
      </c>
      <c r="BA33">
        <f t="shared" si="13"/>
        <v>-24307.044976818</v>
      </c>
      <c r="BB33">
        <f t="shared" si="14"/>
        <v>9743143.90239694</v>
      </c>
      <c r="BC33">
        <f t="shared" si="2"/>
        <v>121789.298779962</v>
      </c>
      <c r="BD33">
        <f t="shared" si="3"/>
        <v>0.0125</v>
      </c>
      <c r="BG33">
        <f t="shared" si="10"/>
        <v>41600.6684916353</v>
      </c>
      <c r="BH33">
        <f t="shared" si="11"/>
        <v>9003300.76422652</v>
      </c>
      <c r="BI33">
        <f t="shared" si="4"/>
        <v>112541.259552832</v>
      </c>
      <c r="BJ33">
        <f t="shared" si="5"/>
        <v>0.0125</v>
      </c>
    </row>
    <row r="34" spans="1:62">
      <c r="A34" s="4">
        <v>45686</v>
      </c>
      <c r="B34">
        <v>-2.46596021322449</v>
      </c>
      <c r="C34" s="7" t="s">
        <v>553</v>
      </c>
      <c r="D34" s="7" t="s">
        <v>554</v>
      </c>
      <c r="E34">
        <v>0.64</v>
      </c>
      <c r="F34" s="7" t="s">
        <v>555</v>
      </c>
      <c r="G34" s="7" t="s">
        <v>556</v>
      </c>
      <c r="H34" s="7" t="s">
        <v>557</v>
      </c>
      <c r="I34" s="7" t="s">
        <v>558</v>
      </c>
      <c r="J34" s="7" t="s">
        <v>559</v>
      </c>
      <c r="K34">
        <v>-150.897451333954</v>
      </c>
      <c r="L34" s="1">
        <v>-51.134004869723</v>
      </c>
      <c r="M34">
        <v>-112.267703792462</v>
      </c>
      <c r="N34" s="7" t="s">
        <v>560</v>
      </c>
      <c r="O34" s="7" t="s">
        <v>561</v>
      </c>
      <c r="P34" s="7" t="s">
        <v>562</v>
      </c>
      <c r="Q34" s="7" t="s">
        <v>563</v>
      </c>
      <c r="R34" s="7" t="s">
        <v>564</v>
      </c>
      <c r="S34">
        <v>0.33</v>
      </c>
      <c r="T34" s="7" t="s">
        <v>555</v>
      </c>
      <c r="U34" s="7" t="s">
        <v>565</v>
      </c>
      <c r="V34">
        <v>545.094</v>
      </c>
      <c r="W34">
        <v>616.3922952</v>
      </c>
      <c r="X34" s="7" t="s">
        <v>566</v>
      </c>
      <c r="Y34" s="7" t="s">
        <v>567</v>
      </c>
      <c r="Z34">
        <v>-61.1336989227392</v>
      </c>
      <c r="AA34" s="8" t="s">
        <v>568</v>
      </c>
      <c r="AB34" s="7" t="s">
        <v>569</v>
      </c>
      <c r="AC34" s="7" t="s">
        <v>549</v>
      </c>
      <c r="AD34" s="7" t="s">
        <v>570</v>
      </c>
      <c r="AE34" s="7" t="s">
        <v>571</v>
      </c>
      <c r="AF34" s="7" t="s">
        <v>572</v>
      </c>
      <c r="AK34">
        <v>-61.1336989227392</v>
      </c>
      <c r="AL34" s="1">
        <v>-51.134004869723</v>
      </c>
      <c r="AM34">
        <v>69.07</v>
      </c>
      <c r="AN34">
        <f t="shared" si="15"/>
        <v>68.3793</v>
      </c>
      <c r="AO34">
        <f t="shared" si="16"/>
        <v>-35318.257163518</v>
      </c>
      <c r="AP34">
        <f t="shared" si="17"/>
        <v>67571.5116704053</v>
      </c>
      <c r="AQ34">
        <f t="shared" si="18"/>
        <v>32253.2545068873</v>
      </c>
      <c r="AR34">
        <f t="shared" si="19"/>
        <v>9071667.63681207</v>
      </c>
      <c r="AS34">
        <f t="shared" si="7"/>
        <v>113395.845460151</v>
      </c>
      <c r="AT34">
        <f t="shared" si="8"/>
        <v>0.0125</v>
      </c>
      <c r="AW34">
        <v>163.3</v>
      </c>
      <c r="AX34">
        <f t="shared" si="1"/>
        <v>164.933</v>
      </c>
      <c r="AY34">
        <f t="shared" si="9"/>
        <v>-17964.7938697388</v>
      </c>
      <c r="AZ34">
        <f t="shared" si="12"/>
        <v>-26723.8246891728</v>
      </c>
      <c r="BA34">
        <f t="shared" si="13"/>
        <v>-44688.6185589116</v>
      </c>
      <c r="BB34">
        <f t="shared" si="14"/>
        <v>9698455.28383803</v>
      </c>
      <c r="BC34">
        <f t="shared" si="2"/>
        <v>121230.691047975</v>
      </c>
      <c r="BD34">
        <f t="shared" si="3"/>
        <v>0.0125</v>
      </c>
      <c r="BG34">
        <f t="shared" si="10"/>
        <v>-53283.0510332568</v>
      </c>
      <c r="BH34">
        <f t="shared" si="11"/>
        <v>8950017.71319327</v>
      </c>
      <c r="BI34">
        <f t="shared" si="4"/>
        <v>111875.221414916</v>
      </c>
      <c r="BJ34">
        <f t="shared" si="5"/>
        <v>0.0125</v>
      </c>
    </row>
    <row r="35" spans="1:62">
      <c r="A35" s="4">
        <v>45687</v>
      </c>
      <c r="B35">
        <v>-3.66610713699917</v>
      </c>
      <c r="C35">
        <v>0.6239</v>
      </c>
      <c r="D35">
        <v>623.9</v>
      </c>
      <c r="E35">
        <v>0.64</v>
      </c>
      <c r="F35" s="7" t="s">
        <v>573</v>
      </c>
      <c r="G35" s="7" t="s">
        <v>574</v>
      </c>
      <c r="H35">
        <v>399.296</v>
      </c>
      <c r="I35" s="7" t="s">
        <v>575</v>
      </c>
      <c r="J35" s="7" t="s">
        <v>576</v>
      </c>
      <c r="K35">
        <v>-224.988916559752</v>
      </c>
      <c r="L35" s="1">
        <v>-55.1240501279935</v>
      </c>
      <c r="M35">
        <v>-167.391753920455</v>
      </c>
      <c r="N35" s="7" t="s">
        <v>577</v>
      </c>
      <c r="O35">
        <v>-10880.4640048292</v>
      </c>
      <c r="P35" s="7" t="s">
        <v>578</v>
      </c>
      <c r="Q35" s="7" t="s">
        <v>579</v>
      </c>
      <c r="R35" s="7" t="s">
        <v>580</v>
      </c>
      <c r="S35">
        <v>0.35</v>
      </c>
      <c r="T35" s="7" t="s">
        <v>573</v>
      </c>
      <c r="U35" s="7" t="s">
        <v>581</v>
      </c>
      <c r="V35" s="7" t="s">
        <v>582</v>
      </c>
      <c r="W35">
        <v>655.688726</v>
      </c>
      <c r="X35" s="7" t="s">
        <v>583</v>
      </c>
      <c r="Y35" s="7" t="s">
        <v>584</v>
      </c>
      <c r="Z35">
        <v>-112.267703792462</v>
      </c>
      <c r="AA35" s="8" t="s">
        <v>585</v>
      </c>
      <c r="AB35" s="7" t="s">
        <v>586</v>
      </c>
      <c r="AC35" s="7" t="s">
        <v>569</v>
      </c>
      <c r="AD35" s="7" t="s">
        <v>587</v>
      </c>
      <c r="AE35" s="7" t="s">
        <v>588</v>
      </c>
      <c r="AF35" s="7" t="s">
        <v>589</v>
      </c>
      <c r="AK35">
        <v>-112.267703792462</v>
      </c>
      <c r="AL35" s="1">
        <v>-55.1240501279935</v>
      </c>
      <c r="AM35">
        <v>69.025</v>
      </c>
      <c r="AN35">
        <f t="shared" si="15"/>
        <v>68.33475</v>
      </c>
      <c r="AO35">
        <f t="shared" si="16"/>
        <v>-38049.3756008478</v>
      </c>
      <c r="AP35">
        <f t="shared" si="17"/>
        <v>2751.0164515225</v>
      </c>
      <c r="AQ35">
        <f t="shared" si="18"/>
        <v>-35298.3591493253</v>
      </c>
      <c r="AR35">
        <f t="shared" si="19"/>
        <v>9036369.27766274</v>
      </c>
      <c r="AS35">
        <f t="shared" si="7"/>
        <v>112954.615970784</v>
      </c>
      <c r="AT35">
        <f t="shared" si="8"/>
        <v>0.0125</v>
      </c>
      <c r="AW35">
        <v>163.84</v>
      </c>
      <c r="AX35">
        <f t="shared" si="1"/>
        <v>165.4784</v>
      </c>
      <c r="AY35">
        <f t="shared" si="9"/>
        <v>-6330.05963409609</v>
      </c>
      <c r="AZ35">
        <f t="shared" si="12"/>
        <v>103091.906982001</v>
      </c>
      <c r="BA35">
        <f t="shared" si="13"/>
        <v>96761.8473479048</v>
      </c>
      <c r="BB35">
        <f t="shared" si="14"/>
        <v>9795217.13118593</v>
      </c>
      <c r="BC35">
        <f t="shared" si="2"/>
        <v>122440.214139824</v>
      </c>
      <c r="BD35">
        <f t="shared" si="3"/>
        <v>0.0125</v>
      </c>
      <c r="BG35">
        <f t="shared" si="10"/>
        <v>-44379.4352349439</v>
      </c>
      <c r="BH35">
        <f t="shared" si="11"/>
        <v>8905638.27795832</v>
      </c>
      <c r="BI35">
        <f t="shared" si="4"/>
        <v>111320.478474479</v>
      </c>
      <c r="BJ35">
        <f t="shared" si="5"/>
        <v>0.0125</v>
      </c>
    </row>
    <row r="36" spans="1:62">
      <c r="A36" s="4">
        <v>45688</v>
      </c>
      <c r="B36">
        <v>-4.32747654810402</v>
      </c>
      <c r="C36">
        <v>0.62165</v>
      </c>
      <c r="D36" s="7" t="s">
        <v>590</v>
      </c>
      <c r="E36">
        <v>0.64</v>
      </c>
      <c r="F36" s="7" t="s">
        <v>591</v>
      </c>
      <c r="G36" s="7" t="s">
        <v>592</v>
      </c>
      <c r="H36" s="7" t="s">
        <v>593</v>
      </c>
      <c r="I36">
        <v>258.009616</v>
      </c>
      <c r="J36" s="7" t="s">
        <v>594</v>
      </c>
      <c r="K36">
        <v>-267.393618669011</v>
      </c>
      <c r="L36" s="1">
        <v>-31.5490983692885</v>
      </c>
      <c r="M36">
        <v>-198.940852289744</v>
      </c>
      <c r="N36" s="7" t="s">
        <v>595</v>
      </c>
      <c r="O36" s="7" t="s">
        <v>596</v>
      </c>
      <c r="P36" s="7" t="s">
        <v>597</v>
      </c>
      <c r="Q36">
        <v>1.655</v>
      </c>
      <c r="R36">
        <v>1655</v>
      </c>
      <c r="S36">
        <v>0.36</v>
      </c>
      <c r="T36" s="7" t="s">
        <v>591</v>
      </c>
      <c r="U36" s="7" t="s">
        <v>598</v>
      </c>
      <c r="V36">
        <v>595.8</v>
      </c>
      <c r="W36">
        <v>673.73064</v>
      </c>
      <c r="X36" s="7" t="s">
        <v>599</v>
      </c>
      <c r="Y36" s="7" t="s">
        <v>600</v>
      </c>
      <c r="Z36">
        <v>-167.391753920455</v>
      </c>
      <c r="AA36" s="8" t="s">
        <v>601</v>
      </c>
      <c r="AB36" s="7" t="s">
        <v>602</v>
      </c>
      <c r="AC36" s="7" t="s">
        <v>586</v>
      </c>
      <c r="AD36" s="7" t="s">
        <v>603</v>
      </c>
      <c r="AE36">
        <v>-45416.1445394645</v>
      </c>
      <c r="AF36" s="7" t="s">
        <v>604</v>
      </c>
      <c r="AK36">
        <v>-167.391753920455</v>
      </c>
      <c r="AL36" s="1">
        <v>-31.5490983692885</v>
      </c>
      <c r="AM36">
        <v>69.025</v>
      </c>
      <c r="AN36">
        <f t="shared" si="15"/>
        <v>68.33475</v>
      </c>
      <c r="AO36">
        <f t="shared" si="16"/>
        <v>-21776.7651494016</v>
      </c>
      <c r="AP36">
        <f t="shared" si="17"/>
        <v>0</v>
      </c>
      <c r="AQ36">
        <f t="shared" si="18"/>
        <v>-21776.7651494016</v>
      </c>
      <c r="AR36">
        <f t="shared" si="19"/>
        <v>9014592.51251334</v>
      </c>
      <c r="AS36">
        <f t="shared" si="7"/>
        <v>112682.406406417</v>
      </c>
      <c r="AT36">
        <f t="shared" si="8"/>
        <v>0.0125</v>
      </c>
      <c r="AW36">
        <v>164.43</v>
      </c>
      <c r="AX36">
        <f t="shared" si="1"/>
        <v>166.0743</v>
      </c>
      <c r="AY36">
        <f t="shared" si="9"/>
        <v>-100924.161521451</v>
      </c>
      <c r="AZ36">
        <f t="shared" si="12"/>
        <v>119128.102046732</v>
      </c>
      <c r="BA36">
        <f t="shared" si="13"/>
        <v>18203.9405252807</v>
      </c>
      <c r="BB36">
        <f t="shared" si="14"/>
        <v>9813421.07171121</v>
      </c>
      <c r="BC36">
        <f t="shared" si="2"/>
        <v>122667.76339639</v>
      </c>
      <c r="BD36">
        <f t="shared" si="3"/>
        <v>0.0125</v>
      </c>
      <c r="BG36">
        <f t="shared" si="10"/>
        <v>-122700.926670853</v>
      </c>
      <c r="BH36">
        <f t="shared" si="11"/>
        <v>8782937.35128747</v>
      </c>
      <c r="BI36">
        <f t="shared" si="4"/>
        <v>109786.716891093</v>
      </c>
      <c r="BJ36">
        <f t="shared" si="5"/>
        <v>0.0125</v>
      </c>
    </row>
    <row r="37" spans="1:62">
      <c r="A37" s="4">
        <v>45691</v>
      </c>
      <c r="B37">
        <v>-5.41368537313004</v>
      </c>
      <c r="C37" s="7" t="s">
        <v>605</v>
      </c>
      <c r="D37" s="7" t="s">
        <v>606</v>
      </c>
      <c r="E37">
        <v>0.66</v>
      </c>
      <c r="F37" s="7" t="s">
        <v>607</v>
      </c>
      <c r="G37" s="7" t="s">
        <v>608</v>
      </c>
      <c r="H37" s="7" t="s">
        <v>609</v>
      </c>
      <c r="I37" s="7" t="s">
        <v>610</v>
      </c>
      <c r="J37" s="7" t="s">
        <v>611</v>
      </c>
      <c r="K37">
        <v>-329.17679470153</v>
      </c>
      <c r="L37" s="1">
        <v>-45.9666829681942</v>
      </c>
      <c r="M37">
        <v>-244.907535257938</v>
      </c>
      <c r="N37" s="7" t="s">
        <v>612</v>
      </c>
      <c r="O37" s="7" t="s">
        <v>613</v>
      </c>
      <c r="P37" s="7" t="s">
        <v>614</v>
      </c>
      <c r="Q37">
        <v>1.6528</v>
      </c>
      <c r="R37">
        <v>1652.8</v>
      </c>
      <c r="S37">
        <v>0.35</v>
      </c>
      <c r="T37" s="7" t="s">
        <v>607</v>
      </c>
      <c r="U37" s="7" t="s">
        <v>615</v>
      </c>
      <c r="V37" s="7" t="s">
        <v>616</v>
      </c>
      <c r="W37" s="7" t="s">
        <v>617</v>
      </c>
      <c r="X37" s="7" t="s">
        <v>618</v>
      </c>
      <c r="Y37" s="7" t="s">
        <v>619</v>
      </c>
      <c r="Z37">
        <v>-198.940852289744</v>
      </c>
      <c r="AA37" s="2">
        <v>-0.383445455479432</v>
      </c>
      <c r="AB37" s="7" t="s">
        <v>620</v>
      </c>
      <c r="AC37" s="7" t="s">
        <v>602</v>
      </c>
      <c r="AD37" s="7" t="s">
        <v>621</v>
      </c>
      <c r="AE37">
        <v>-58689.4761096937</v>
      </c>
      <c r="AF37" s="7" t="s">
        <v>622</v>
      </c>
      <c r="AK37">
        <v>-198.940852289744</v>
      </c>
      <c r="AL37" s="1">
        <v>-45.9666829681942</v>
      </c>
      <c r="AM37">
        <v>68.845</v>
      </c>
      <c r="AN37">
        <f t="shared" si="15"/>
        <v>68.15655</v>
      </c>
      <c r="AO37">
        <f t="shared" si="16"/>
        <v>-31645.7628894534</v>
      </c>
      <c r="AP37">
        <f t="shared" si="17"/>
        <v>30130.515705683</v>
      </c>
      <c r="AQ37">
        <f t="shared" si="18"/>
        <v>-1515.2471837704</v>
      </c>
      <c r="AR37">
        <f t="shared" si="19"/>
        <v>9013077.26532957</v>
      </c>
      <c r="AS37">
        <f t="shared" si="7"/>
        <v>112663.46581662</v>
      </c>
      <c r="AT37">
        <f t="shared" si="8"/>
        <v>0.0125</v>
      </c>
      <c r="AW37">
        <v>164.58</v>
      </c>
      <c r="AX37">
        <f t="shared" si="1"/>
        <v>166.2258</v>
      </c>
      <c r="AY37">
        <f t="shared" si="9"/>
        <v>631.074530628052</v>
      </c>
      <c r="AZ37">
        <f t="shared" si="12"/>
        <v>30866.3398733607</v>
      </c>
      <c r="BA37">
        <f t="shared" si="13"/>
        <v>31497.4144039887</v>
      </c>
      <c r="BB37">
        <f t="shared" si="14"/>
        <v>9844918.4861152</v>
      </c>
      <c r="BC37">
        <f t="shared" si="2"/>
        <v>123061.48107644</v>
      </c>
      <c r="BD37">
        <f t="shared" si="3"/>
        <v>0.0125</v>
      </c>
      <c r="BG37">
        <f t="shared" si="10"/>
        <v>-31014.6883588254</v>
      </c>
      <c r="BH37">
        <f t="shared" si="11"/>
        <v>8751922.66292865</v>
      </c>
      <c r="BI37">
        <f t="shared" si="4"/>
        <v>109399.033286608</v>
      </c>
      <c r="BJ37">
        <f t="shared" si="5"/>
        <v>0.0125</v>
      </c>
    </row>
    <row r="38" spans="1:62">
      <c r="A38" s="4">
        <v>45692</v>
      </c>
      <c r="B38">
        <v>-7.12340240960593</v>
      </c>
      <c r="C38">
        <v>0.62605</v>
      </c>
      <c r="D38">
        <v>626.05</v>
      </c>
      <c r="E38">
        <v>0.66</v>
      </c>
      <c r="F38" s="7" t="s">
        <v>623</v>
      </c>
      <c r="G38" s="7" t="s">
        <v>624</v>
      </c>
      <c r="H38">
        <v>413.193</v>
      </c>
      <c r="I38" s="7" t="s">
        <v>625</v>
      </c>
      <c r="J38" s="7" t="s">
        <v>626</v>
      </c>
      <c r="K38">
        <v>-428.80837153557</v>
      </c>
      <c r="L38" s="1">
        <v>-74.1258931645261</v>
      </c>
      <c r="M38">
        <v>-319.033428422464</v>
      </c>
      <c r="N38" s="7" t="s">
        <v>627</v>
      </c>
      <c r="O38">
        <v>-244060.572743183</v>
      </c>
      <c r="P38" s="7" t="s">
        <v>628</v>
      </c>
      <c r="Q38">
        <v>1.6549</v>
      </c>
      <c r="R38">
        <v>1654.9</v>
      </c>
      <c r="S38">
        <v>0.33</v>
      </c>
      <c r="T38" s="7" t="s">
        <v>623</v>
      </c>
      <c r="U38" s="7" t="s">
        <v>629</v>
      </c>
      <c r="V38" s="7" t="s">
        <v>630</v>
      </c>
      <c r="W38" s="7" t="s">
        <v>631</v>
      </c>
      <c r="X38" s="7" t="s">
        <v>632</v>
      </c>
      <c r="Y38" s="7" t="s">
        <v>633</v>
      </c>
      <c r="Z38">
        <v>-244.907535257938</v>
      </c>
      <c r="AA38" s="2">
        <v>-45.0118927368</v>
      </c>
      <c r="AB38" s="7" t="s">
        <v>634</v>
      </c>
      <c r="AC38" s="7" t="s">
        <v>620</v>
      </c>
      <c r="AD38" s="7" t="s">
        <v>635</v>
      </c>
      <c r="AE38" s="7" t="s">
        <v>636</v>
      </c>
      <c r="AF38" s="7" t="s">
        <v>637</v>
      </c>
      <c r="AK38">
        <v>-244.907535257938</v>
      </c>
      <c r="AL38" s="1">
        <v>-74.1258931645261</v>
      </c>
      <c r="AM38">
        <v>68.585</v>
      </c>
      <c r="AN38">
        <f t="shared" si="15"/>
        <v>67.89915</v>
      </c>
      <c r="AO38">
        <f t="shared" si="16"/>
        <v>-50839.2438268904</v>
      </c>
      <c r="AP38">
        <f t="shared" si="17"/>
        <v>51724.6215953345</v>
      </c>
      <c r="AQ38">
        <f t="shared" si="18"/>
        <v>885.377768444072</v>
      </c>
      <c r="AR38">
        <f t="shared" si="19"/>
        <v>9013962.64309802</v>
      </c>
      <c r="AS38">
        <f t="shared" si="7"/>
        <v>112674.533038725</v>
      </c>
      <c r="AT38">
        <f t="shared" si="8"/>
        <v>0.0125</v>
      </c>
      <c r="AW38">
        <v>164.41</v>
      </c>
      <c r="AX38">
        <f t="shared" si="1"/>
        <v>166.0541</v>
      </c>
      <c r="AY38">
        <f t="shared" si="9"/>
        <v>74004.0528485733</v>
      </c>
      <c r="AZ38">
        <f t="shared" si="12"/>
        <v>-45416.144539472</v>
      </c>
      <c r="BA38">
        <f t="shared" si="13"/>
        <v>28587.9083091013</v>
      </c>
      <c r="BB38">
        <f t="shared" si="14"/>
        <v>9873506.3944243</v>
      </c>
      <c r="BC38">
        <f t="shared" si="2"/>
        <v>123418.829930304</v>
      </c>
      <c r="BD38">
        <f t="shared" si="3"/>
        <v>0.0125</v>
      </c>
      <c r="BG38">
        <f t="shared" si="10"/>
        <v>23164.8090216829</v>
      </c>
      <c r="BH38">
        <f t="shared" si="11"/>
        <v>8775087.47195033</v>
      </c>
      <c r="BI38">
        <f t="shared" si="4"/>
        <v>109688.593399379</v>
      </c>
      <c r="BJ38">
        <f t="shared" si="5"/>
        <v>0.0125</v>
      </c>
    </row>
    <row r="39" spans="1:62">
      <c r="A39" s="4">
        <v>45693</v>
      </c>
      <c r="B39">
        <v>-4.44628682472314</v>
      </c>
      <c r="C39">
        <v>0.62865</v>
      </c>
      <c r="D39" s="7" t="s">
        <v>638</v>
      </c>
      <c r="E39">
        <v>0.67</v>
      </c>
      <c r="F39" s="7" t="s">
        <v>639</v>
      </c>
      <c r="G39" s="7" t="s">
        <v>640</v>
      </c>
      <c r="H39" s="7" t="s">
        <v>641</v>
      </c>
      <c r="I39" s="7" t="s">
        <v>642</v>
      </c>
      <c r="J39" s="7" t="s">
        <v>643</v>
      </c>
      <c r="K39">
        <v>-265.028377155598</v>
      </c>
      <c r="L39" s="9" t="s">
        <v>644</v>
      </c>
      <c r="M39">
        <v>-197.181112603765</v>
      </c>
      <c r="N39" s="7" t="s">
        <v>645</v>
      </c>
      <c r="O39">
        <v>-51267.0892769799</v>
      </c>
      <c r="P39" s="7" t="s">
        <v>646</v>
      </c>
      <c r="Q39">
        <v>1.6551</v>
      </c>
      <c r="R39">
        <v>1655.1</v>
      </c>
      <c r="S39">
        <v>0.35</v>
      </c>
      <c r="T39" s="7" t="s">
        <v>639</v>
      </c>
      <c r="U39" s="7" t="s">
        <v>647</v>
      </c>
      <c r="V39">
        <v>579.285</v>
      </c>
      <c r="W39">
        <v>655.055478</v>
      </c>
      <c r="X39" s="7" t="s">
        <v>648</v>
      </c>
      <c r="Y39" s="7" t="s">
        <v>649</v>
      </c>
      <c r="Z39">
        <v>-319.033428422464</v>
      </c>
      <c r="AA39" s="2">
        <v>-0.0753395186964098</v>
      </c>
      <c r="AB39" s="7" t="s">
        <v>650</v>
      </c>
      <c r="AC39" s="7" t="s">
        <v>634</v>
      </c>
      <c r="AD39" s="7" t="s">
        <v>651</v>
      </c>
      <c r="AE39" s="7" t="s">
        <v>652</v>
      </c>
      <c r="AF39" s="7" t="s">
        <v>653</v>
      </c>
      <c r="AK39">
        <v>-319.033428422464</v>
      </c>
      <c r="AL39" s="9" t="s">
        <v>644</v>
      </c>
      <c r="AM39">
        <v>68.01</v>
      </c>
      <c r="AN39">
        <f t="shared" si="15"/>
        <v>68.6901</v>
      </c>
      <c r="AO39">
        <f t="shared" si="16"/>
        <v>-82871.7599882967</v>
      </c>
      <c r="AP39">
        <f t="shared" si="17"/>
        <v>140821.832773312</v>
      </c>
      <c r="AQ39">
        <f t="shared" si="18"/>
        <v>57950.0727850149</v>
      </c>
      <c r="AR39">
        <f t="shared" si="19"/>
        <v>9071912.71588303</v>
      </c>
      <c r="AS39">
        <f t="shared" si="7"/>
        <v>113398.908948538</v>
      </c>
      <c r="AT39">
        <f t="shared" si="8"/>
        <v>0.0125</v>
      </c>
      <c r="AW39">
        <v>164.99</v>
      </c>
      <c r="AX39">
        <f t="shared" si="1"/>
        <v>166.6399</v>
      </c>
      <c r="AY39">
        <f t="shared" si="9"/>
        <v>124.302671897207</v>
      </c>
      <c r="AZ39">
        <f t="shared" si="12"/>
        <v>154726.800652833</v>
      </c>
      <c r="BA39">
        <f t="shared" si="13"/>
        <v>154851.10332473</v>
      </c>
      <c r="BB39">
        <f t="shared" si="14"/>
        <v>10028357.497749</v>
      </c>
      <c r="BC39">
        <f t="shared" si="2"/>
        <v>125354.468721863</v>
      </c>
      <c r="BD39">
        <f t="shared" si="3"/>
        <v>0.0125</v>
      </c>
      <c r="BG39">
        <f t="shared" si="10"/>
        <v>-82747.4573163995</v>
      </c>
      <c r="BH39">
        <f t="shared" si="11"/>
        <v>8692340.01463393</v>
      </c>
      <c r="BI39">
        <f t="shared" si="4"/>
        <v>108654.250182924</v>
      </c>
      <c r="BJ39">
        <f t="shared" si="5"/>
        <v>0.0125</v>
      </c>
    </row>
    <row r="40" spans="1:62">
      <c r="A40" s="4">
        <v>45694</v>
      </c>
      <c r="B40">
        <v>-2.56483248722854</v>
      </c>
      <c r="C40" s="7" t="s">
        <v>654</v>
      </c>
      <c r="D40" s="7" t="s">
        <v>655</v>
      </c>
      <c r="E40">
        <v>0.68</v>
      </c>
      <c r="F40" s="7" t="s">
        <v>656</v>
      </c>
      <c r="G40" s="7" t="s">
        <v>657</v>
      </c>
      <c r="H40" s="7" t="s">
        <v>658</v>
      </c>
      <c r="I40" s="7" t="s">
        <v>659</v>
      </c>
      <c r="J40" s="7" t="s">
        <v>660</v>
      </c>
      <c r="K40">
        <v>-151.616698204919</v>
      </c>
      <c r="L40" s="9" t="s">
        <v>661</v>
      </c>
      <c r="M40">
        <v>-112.802823464459</v>
      </c>
      <c r="N40" s="7" t="s">
        <v>662</v>
      </c>
      <c r="O40" s="7" t="s">
        <v>663</v>
      </c>
      <c r="P40" s="7" t="s">
        <v>664</v>
      </c>
      <c r="Q40" s="7" t="s">
        <v>665</v>
      </c>
      <c r="R40" s="7" t="s">
        <v>666</v>
      </c>
      <c r="S40">
        <v>0.4</v>
      </c>
      <c r="T40" s="7" t="s">
        <v>656</v>
      </c>
      <c r="U40" s="7" t="s">
        <v>667</v>
      </c>
      <c r="V40">
        <v>665.44</v>
      </c>
      <c r="W40" s="7" t="s">
        <v>668</v>
      </c>
      <c r="X40" s="7" t="s">
        <v>669</v>
      </c>
      <c r="Y40" s="7" t="s">
        <v>670</v>
      </c>
      <c r="Z40">
        <v>-197.181112603765</v>
      </c>
      <c r="AA40" s="2">
        <v>-26.305806910108</v>
      </c>
      <c r="AB40" s="7" t="s">
        <v>671</v>
      </c>
      <c r="AC40" s="7" t="s">
        <v>650</v>
      </c>
      <c r="AD40" s="7" t="s">
        <v>672</v>
      </c>
      <c r="AE40" s="7" t="s">
        <v>673</v>
      </c>
      <c r="AF40" s="7" t="s">
        <v>674</v>
      </c>
      <c r="AK40">
        <v>-197.181112603765</v>
      </c>
      <c r="AL40" s="9" t="s">
        <v>661</v>
      </c>
      <c r="AM40">
        <v>68.09</v>
      </c>
      <c r="AN40">
        <f t="shared" si="15"/>
        <v>68.7709</v>
      </c>
      <c r="AO40">
        <f t="shared" si="16"/>
        <v>-57453.1770749524</v>
      </c>
      <c r="AP40">
        <f t="shared" si="17"/>
        <v>-25522.6742737966</v>
      </c>
      <c r="AQ40">
        <f t="shared" si="18"/>
        <v>-82975.851348749</v>
      </c>
      <c r="AR40">
        <f t="shared" si="19"/>
        <v>8988936.86453428</v>
      </c>
      <c r="AS40">
        <f t="shared" si="7"/>
        <v>112361.710806679</v>
      </c>
      <c r="AT40">
        <f t="shared" si="8"/>
        <v>0.0125</v>
      </c>
      <c r="AW40">
        <v>165.64</v>
      </c>
      <c r="AX40">
        <f t="shared" si="1"/>
        <v>167.2964</v>
      </c>
      <c r="AY40">
        <f t="shared" si="9"/>
        <v>43572.9385659027</v>
      </c>
      <c r="AZ40">
        <f t="shared" si="12"/>
        <v>144142.994590625</v>
      </c>
      <c r="BA40">
        <f t="shared" si="13"/>
        <v>187715.933156528</v>
      </c>
      <c r="BB40">
        <f t="shared" si="14"/>
        <v>10216073.4309056</v>
      </c>
      <c r="BC40">
        <f t="shared" si="2"/>
        <v>127700.91788632</v>
      </c>
      <c r="BD40">
        <f t="shared" si="3"/>
        <v>0.0125</v>
      </c>
      <c r="BG40">
        <f t="shared" si="10"/>
        <v>-13880.2385090498</v>
      </c>
      <c r="BH40">
        <f t="shared" si="11"/>
        <v>8678459.77612488</v>
      </c>
      <c r="BI40">
        <f t="shared" si="4"/>
        <v>108480.747201561</v>
      </c>
      <c r="BJ40">
        <f t="shared" si="5"/>
        <v>0.0125</v>
      </c>
    </row>
    <row r="41" spans="1:62">
      <c r="A41" s="4">
        <v>45695</v>
      </c>
      <c r="B41">
        <v>-1.47436699809825</v>
      </c>
      <c r="C41">
        <v>0.62745</v>
      </c>
      <c r="D41" s="7" t="s">
        <v>675</v>
      </c>
      <c r="E41">
        <v>0.69</v>
      </c>
      <c r="F41" s="7" t="s">
        <v>676</v>
      </c>
      <c r="G41" s="7" t="s">
        <v>677</v>
      </c>
      <c r="H41" s="7" t="s">
        <v>678</v>
      </c>
      <c r="I41" s="7" t="s">
        <v>679</v>
      </c>
      <c r="J41" s="7" t="s">
        <v>680</v>
      </c>
      <c r="K41">
        <v>-86.6368892082078</v>
      </c>
      <c r="L41" s="9" t="s">
        <v>681</v>
      </c>
      <c r="M41">
        <v>-64.4578455709066</v>
      </c>
      <c r="N41" s="7" t="s">
        <v>682</v>
      </c>
      <c r="O41" s="7" t="s">
        <v>683</v>
      </c>
      <c r="P41" s="7" t="s">
        <v>684</v>
      </c>
      <c r="Q41">
        <v>1.6675</v>
      </c>
      <c r="R41">
        <v>1667.5</v>
      </c>
      <c r="S41">
        <v>0.45</v>
      </c>
      <c r="T41" s="7" t="s">
        <v>676</v>
      </c>
      <c r="U41" s="7" t="s">
        <v>685</v>
      </c>
      <c r="V41">
        <v>750.375</v>
      </c>
      <c r="W41">
        <v>848.52405</v>
      </c>
      <c r="X41" s="7" t="s">
        <v>686</v>
      </c>
      <c r="Y41" s="7" t="s">
        <v>687</v>
      </c>
      <c r="Z41">
        <v>-112.802823464459</v>
      </c>
      <c r="AA41" s="8" t="s">
        <v>688</v>
      </c>
      <c r="AB41" s="7" t="s">
        <v>689</v>
      </c>
      <c r="AC41" s="7" t="s">
        <v>671</v>
      </c>
      <c r="AD41" s="7" t="s">
        <v>690</v>
      </c>
      <c r="AE41" s="7" t="s">
        <v>691</v>
      </c>
      <c r="AF41" s="7" t="s">
        <v>692</v>
      </c>
      <c r="AK41">
        <v>-112.802823464459</v>
      </c>
      <c r="AL41" s="9" t="s">
        <v>681</v>
      </c>
      <c r="AM41">
        <v>67.29</v>
      </c>
      <c r="AN41">
        <f t="shared" si="15"/>
        <v>67.9629</v>
      </c>
      <c r="AO41">
        <f t="shared" si="16"/>
        <v>-32531.3356245718</v>
      </c>
      <c r="AP41">
        <f t="shared" si="17"/>
        <v>157744.890083011</v>
      </c>
      <c r="AQ41">
        <f t="shared" si="18"/>
        <v>125213.55445844</v>
      </c>
      <c r="AR41">
        <f t="shared" si="19"/>
        <v>9114150.41899272</v>
      </c>
      <c r="AS41">
        <f t="shared" si="7"/>
        <v>113926.880237409</v>
      </c>
      <c r="AT41">
        <f t="shared" si="8"/>
        <v>0.0125</v>
      </c>
      <c r="AW41">
        <v>166.21</v>
      </c>
      <c r="AX41">
        <f t="shared" si="1"/>
        <v>167.8721</v>
      </c>
      <c r="AY41">
        <f t="shared" si="9"/>
        <v>-73738.3391507206</v>
      </c>
      <c r="AZ41">
        <f t="shared" si="12"/>
        <v>126359.37480767</v>
      </c>
      <c r="BA41">
        <f t="shared" si="13"/>
        <v>52621.0356569492</v>
      </c>
      <c r="BB41">
        <f t="shared" si="14"/>
        <v>10268694.4665625</v>
      </c>
      <c r="BC41">
        <f t="shared" si="2"/>
        <v>128358.680832031</v>
      </c>
      <c r="BD41">
        <f t="shared" si="3"/>
        <v>0.0125</v>
      </c>
      <c r="BG41">
        <f t="shared" si="10"/>
        <v>-106269.674775292</v>
      </c>
      <c r="BH41">
        <f t="shared" si="11"/>
        <v>8572190.10134959</v>
      </c>
      <c r="BI41">
        <f t="shared" si="4"/>
        <v>107152.37626687</v>
      </c>
      <c r="BJ41">
        <f t="shared" si="5"/>
        <v>0.0125</v>
      </c>
    </row>
    <row r="42" spans="1:62">
      <c r="A42" s="4">
        <v>45698</v>
      </c>
      <c r="B42">
        <v>-0.93798240794701</v>
      </c>
      <c r="C42">
        <v>0.6281</v>
      </c>
      <c r="D42">
        <v>628.1</v>
      </c>
      <c r="E42">
        <v>0.71</v>
      </c>
      <c r="F42" s="7" t="s">
        <v>693</v>
      </c>
      <c r="G42" s="7" t="s">
        <v>694</v>
      </c>
      <c r="H42">
        <v>445.951</v>
      </c>
      <c r="I42">
        <v>289.1992235</v>
      </c>
      <c r="J42" s="7" t="s">
        <v>695</v>
      </c>
      <c r="K42">
        <v>-53.9326653008434</v>
      </c>
      <c r="L42" s="9" t="s">
        <v>696</v>
      </c>
      <c r="M42">
        <v>-40.1259029838274</v>
      </c>
      <c r="N42" s="7" t="s">
        <v>697</v>
      </c>
      <c r="O42">
        <v>-2608.18369394898</v>
      </c>
      <c r="P42" s="7" t="s">
        <v>698</v>
      </c>
      <c r="Q42">
        <v>1.6635</v>
      </c>
      <c r="R42">
        <v>1663.5</v>
      </c>
      <c r="S42">
        <v>0.47</v>
      </c>
      <c r="T42" s="7" t="s">
        <v>693</v>
      </c>
      <c r="U42" s="7" t="s">
        <v>699</v>
      </c>
      <c r="V42" s="7" t="s">
        <v>700</v>
      </c>
      <c r="W42" s="7" t="s">
        <v>701</v>
      </c>
      <c r="X42" s="7" t="s">
        <v>702</v>
      </c>
      <c r="Y42" s="7" t="s">
        <v>703</v>
      </c>
      <c r="Z42">
        <v>-64.4578455709066</v>
      </c>
      <c r="AA42" s="8" t="s">
        <v>704</v>
      </c>
      <c r="AB42" s="7" t="s">
        <v>705</v>
      </c>
      <c r="AC42" s="7" t="s">
        <v>689</v>
      </c>
      <c r="AD42" s="7" t="s">
        <v>706</v>
      </c>
      <c r="AE42">
        <v>-120977.487803833</v>
      </c>
      <c r="AF42" s="7" t="s">
        <v>707</v>
      </c>
      <c r="AK42">
        <v>-64.4578455709066</v>
      </c>
      <c r="AL42" s="9" t="s">
        <v>696</v>
      </c>
      <c r="AM42">
        <v>67.385</v>
      </c>
      <c r="AN42">
        <f t="shared" si="15"/>
        <v>68.05885</v>
      </c>
      <c r="AO42">
        <f t="shared" si="16"/>
        <v>-16396.0795123033</v>
      </c>
      <c r="AP42">
        <f t="shared" si="17"/>
        <v>-10716.2682291235</v>
      </c>
      <c r="AQ42">
        <f t="shared" si="18"/>
        <v>-27112.3477414268</v>
      </c>
      <c r="AR42">
        <f t="shared" si="19"/>
        <v>9087038.07125129</v>
      </c>
      <c r="AS42">
        <f t="shared" si="7"/>
        <v>113587.975890641</v>
      </c>
      <c r="AT42">
        <f t="shared" si="8"/>
        <v>0.0125</v>
      </c>
      <c r="AW42">
        <v>166.08</v>
      </c>
      <c r="AX42">
        <f t="shared" si="1"/>
        <v>167.7408</v>
      </c>
      <c r="AY42">
        <f t="shared" si="9"/>
        <v>-104135.233029134</v>
      </c>
      <c r="AZ42">
        <f t="shared" si="12"/>
        <v>-25399.0498823806</v>
      </c>
      <c r="BA42">
        <f t="shared" si="13"/>
        <v>-129534.282911514</v>
      </c>
      <c r="BB42">
        <f t="shared" si="14"/>
        <v>10139160.183651</v>
      </c>
      <c r="BC42">
        <f t="shared" si="2"/>
        <v>126739.502295637</v>
      </c>
      <c r="BD42">
        <f t="shared" si="3"/>
        <v>0.0125</v>
      </c>
      <c r="BG42">
        <f t="shared" si="10"/>
        <v>-120531.312541437</v>
      </c>
      <c r="BH42">
        <f t="shared" si="11"/>
        <v>8451658.78880815</v>
      </c>
      <c r="BI42">
        <f t="shared" si="4"/>
        <v>105645.734860102</v>
      </c>
      <c r="BJ42">
        <f t="shared" si="5"/>
        <v>0.0125</v>
      </c>
    </row>
    <row r="43" spans="1:62">
      <c r="A43" s="4">
        <v>45699</v>
      </c>
      <c r="B43">
        <v>-0.545524741049538</v>
      </c>
      <c r="C43" s="7" t="s">
        <v>708</v>
      </c>
      <c r="D43" s="7" t="s">
        <v>709</v>
      </c>
      <c r="E43">
        <v>0.73</v>
      </c>
      <c r="F43" s="7" t="s">
        <v>710</v>
      </c>
      <c r="G43" s="7" t="s">
        <v>711</v>
      </c>
      <c r="H43" s="7" t="s">
        <v>712</v>
      </c>
      <c r="I43" s="7" t="s">
        <v>713</v>
      </c>
      <c r="J43" s="7" t="s">
        <v>714</v>
      </c>
      <c r="K43">
        <v>-30.7133286311621</v>
      </c>
      <c r="L43" s="9" t="s">
        <v>715</v>
      </c>
      <c r="M43">
        <v>-22.8507165015846</v>
      </c>
      <c r="N43" s="7" t="s">
        <v>716</v>
      </c>
      <c r="O43">
        <v>-3199.10031022186</v>
      </c>
      <c r="P43" s="7" t="s">
        <v>717</v>
      </c>
      <c r="Q43" s="7" t="s">
        <v>718</v>
      </c>
      <c r="R43">
        <v>1660.2</v>
      </c>
      <c r="S43">
        <v>0.46</v>
      </c>
      <c r="T43" s="7" t="s">
        <v>710</v>
      </c>
      <c r="U43" s="7" t="s">
        <v>719</v>
      </c>
      <c r="V43">
        <v>763.692</v>
      </c>
      <c r="W43">
        <v>863.5829136</v>
      </c>
      <c r="X43" s="7" t="s">
        <v>720</v>
      </c>
      <c r="Y43" s="7" t="s">
        <v>721</v>
      </c>
      <c r="Z43">
        <v>-40.1259029838274</v>
      </c>
      <c r="AA43" s="2">
        <v>-34.9632449309417</v>
      </c>
      <c r="AB43" s="7" t="s">
        <v>722</v>
      </c>
      <c r="AC43" s="7" t="s">
        <v>705</v>
      </c>
      <c r="AD43" s="7" t="s">
        <v>723</v>
      </c>
      <c r="AE43">
        <v>-88268.5566109461</v>
      </c>
      <c r="AF43" s="7" t="s">
        <v>724</v>
      </c>
      <c r="AK43">
        <v>-40.1259029838274</v>
      </c>
      <c r="AL43" s="9" t="s">
        <v>715</v>
      </c>
      <c r="AM43">
        <v>67.375</v>
      </c>
      <c r="AN43">
        <f t="shared" si="15"/>
        <v>68.04875</v>
      </c>
      <c r="AO43">
        <f t="shared" si="16"/>
        <v>-11639.1568924111</v>
      </c>
      <c r="AP43">
        <f t="shared" si="17"/>
        <v>644.578455709396</v>
      </c>
      <c r="AQ43">
        <f t="shared" si="18"/>
        <v>-10994.5784367017</v>
      </c>
      <c r="AR43">
        <f t="shared" si="19"/>
        <v>9076043.49281459</v>
      </c>
      <c r="AS43">
        <f t="shared" si="7"/>
        <v>113450.543660182</v>
      </c>
      <c r="AT43">
        <f t="shared" si="8"/>
        <v>0.0125</v>
      </c>
      <c r="AW43">
        <v>166.05</v>
      </c>
      <c r="AX43">
        <f t="shared" si="1"/>
        <v>167.7105</v>
      </c>
      <c r="AY43">
        <f t="shared" si="9"/>
        <v>58056.4682078292</v>
      </c>
      <c r="AZ43">
        <f t="shared" si="12"/>
        <v>-7192.25607536829</v>
      </c>
      <c r="BA43">
        <f t="shared" si="13"/>
        <v>50864.2121324609</v>
      </c>
      <c r="BB43">
        <f t="shared" si="14"/>
        <v>10190024.3957835</v>
      </c>
      <c r="BC43">
        <f t="shared" si="2"/>
        <v>127375.304947293</v>
      </c>
      <c r="BD43">
        <f t="shared" si="3"/>
        <v>0.0125</v>
      </c>
      <c r="BG43">
        <f t="shared" si="10"/>
        <v>46417.3113154181</v>
      </c>
      <c r="BH43">
        <f t="shared" si="11"/>
        <v>8498076.10012357</v>
      </c>
      <c r="BI43">
        <f t="shared" si="4"/>
        <v>106225.951251545</v>
      </c>
      <c r="BJ43">
        <f t="shared" si="5"/>
        <v>0.0125</v>
      </c>
    </row>
    <row r="44" spans="1:62">
      <c r="A44" s="4">
        <v>45700</v>
      </c>
      <c r="B44" s="7" t="s">
        <v>725</v>
      </c>
      <c r="C44">
        <v>0.62875</v>
      </c>
      <c r="D44">
        <v>628.75</v>
      </c>
      <c r="E44">
        <v>0.74</v>
      </c>
      <c r="F44" s="7" t="s">
        <v>726</v>
      </c>
      <c r="G44" s="7" t="s">
        <v>727</v>
      </c>
      <c r="H44">
        <v>465.275</v>
      </c>
      <c r="I44" s="7" t="s">
        <v>728</v>
      </c>
      <c r="J44" s="7" t="s">
        <v>729</v>
      </c>
      <c r="K44" s="7" t="s">
        <v>730</v>
      </c>
      <c r="L44" s="9" t="s">
        <v>731</v>
      </c>
      <c r="M44" s="7" t="s">
        <v>732</v>
      </c>
      <c r="N44" s="7" t="s">
        <v>733</v>
      </c>
      <c r="O44">
        <v>-1041.31671530625</v>
      </c>
      <c r="P44" s="7" t="s">
        <v>734</v>
      </c>
      <c r="Q44">
        <v>1.6612</v>
      </c>
      <c r="R44">
        <v>1661.2</v>
      </c>
      <c r="S44">
        <v>0.46</v>
      </c>
      <c r="T44" s="7" t="s">
        <v>726</v>
      </c>
      <c r="U44" s="7" t="s">
        <v>735</v>
      </c>
      <c r="V44">
        <v>764.152</v>
      </c>
      <c r="W44" s="7" t="s">
        <v>736</v>
      </c>
      <c r="X44" s="7" t="s">
        <v>737</v>
      </c>
      <c r="Y44" s="7" t="s">
        <v>738</v>
      </c>
      <c r="Z44">
        <v>-22.8507165015846</v>
      </c>
      <c r="AA44" s="2">
        <v>-71.9215103750596</v>
      </c>
      <c r="AB44" s="7" t="s">
        <v>739</v>
      </c>
      <c r="AC44" s="7" t="s">
        <v>722</v>
      </c>
      <c r="AD44" s="7" t="s">
        <v>740</v>
      </c>
      <c r="AE44" s="7" t="s">
        <v>741</v>
      </c>
      <c r="AF44" s="7" t="s">
        <v>742</v>
      </c>
      <c r="AK44">
        <v>-22.8507165015846</v>
      </c>
      <c r="AL44" s="9" t="s">
        <v>731</v>
      </c>
      <c r="AM44">
        <v>67.54</v>
      </c>
      <c r="AN44">
        <f t="shared" si="15"/>
        <v>68.2154</v>
      </c>
      <c r="AO44">
        <f t="shared" si="16"/>
        <v>-24810.7780520743</v>
      </c>
      <c r="AP44">
        <f t="shared" si="17"/>
        <v>-6620.77399233177</v>
      </c>
      <c r="AQ44">
        <f t="shared" si="18"/>
        <v>-31431.5520444061</v>
      </c>
      <c r="AR44">
        <f t="shared" si="19"/>
        <v>9044611.94077018</v>
      </c>
      <c r="AS44">
        <f t="shared" si="7"/>
        <v>113057.649259627</v>
      </c>
      <c r="AT44">
        <f t="shared" si="8"/>
        <v>0.0125</v>
      </c>
      <c r="AW44">
        <v>164.93</v>
      </c>
      <c r="AX44">
        <f t="shared" si="1"/>
        <v>166.5793</v>
      </c>
      <c r="AY44">
        <f t="shared" si="9"/>
        <v>118620.147061587</v>
      </c>
      <c r="AZ44">
        <f t="shared" si="12"/>
        <v>-338736.96585073</v>
      </c>
      <c r="BA44">
        <f t="shared" si="13"/>
        <v>-220116.818789143</v>
      </c>
      <c r="BB44">
        <f t="shared" si="14"/>
        <v>9969907.57699431</v>
      </c>
      <c r="BC44">
        <f t="shared" si="2"/>
        <v>124623.844712429</v>
      </c>
      <c r="BD44">
        <f t="shared" si="3"/>
        <v>0.0125</v>
      </c>
      <c r="BG44">
        <f t="shared" si="10"/>
        <v>93809.3690095123</v>
      </c>
      <c r="BH44">
        <f t="shared" si="11"/>
        <v>8591885.46913308</v>
      </c>
      <c r="BI44">
        <f t="shared" si="4"/>
        <v>107398.568364164</v>
      </c>
      <c r="BJ44">
        <f t="shared" si="5"/>
        <v>0.0125</v>
      </c>
    </row>
    <row r="45" spans="1:62">
      <c r="A45" s="4">
        <v>45701</v>
      </c>
      <c r="B45" s="7" t="s">
        <v>743</v>
      </c>
      <c r="C45">
        <v>0.63035</v>
      </c>
      <c r="D45" s="7" t="s">
        <v>744</v>
      </c>
      <c r="E45">
        <v>0.74</v>
      </c>
      <c r="F45" s="7" t="s">
        <v>745</v>
      </c>
      <c r="G45" s="7" t="s">
        <v>746</v>
      </c>
      <c r="H45" s="7" t="s">
        <v>747</v>
      </c>
      <c r="I45" s="7" t="s">
        <v>748</v>
      </c>
      <c r="J45" s="7" t="s">
        <v>749</v>
      </c>
      <c r="K45" s="7" t="s">
        <v>750</v>
      </c>
      <c r="L45" s="9" t="s">
        <v>751</v>
      </c>
      <c r="M45" s="7" t="s">
        <v>752</v>
      </c>
      <c r="N45" s="7" t="s">
        <v>753</v>
      </c>
      <c r="O45" s="7" t="s">
        <v>754</v>
      </c>
      <c r="P45" s="7" t="s">
        <v>755</v>
      </c>
      <c r="Q45">
        <v>1.6654</v>
      </c>
      <c r="R45">
        <v>1665.4</v>
      </c>
      <c r="S45">
        <v>0.47</v>
      </c>
      <c r="T45" s="7" t="s">
        <v>745</v>
      </c>
      <c r="U45" s="7" t="s">
        <v>756</v>
      </c>
      <c r="V45" s="7" t="s">
        <v>757</v>
      </c>
      <c r="W45">
        <v>885.1201304</v>
      </c>
      <c r="X45" s="7" t="s">
        <v>758</v>
      </c>
      <c r="Y45" s="7" t="s">
        <v>759</v>
      </c>
      <c r="Z45" s="7" t="s">
        <v>732</v>
      </c>
      <c r="AA45" s="2">
        <v>-19.3435275223371</v>
      </c>
      <c r="AB45" s="7" t="s">
        <v>760</v>
      </c>
      <c r="AC45" s="7" t="s">
        <v>739</v>
      </c>
      <c r="AD45" s="7" t="s">
        <v>761</v>
      </c>
      <c r="AE45" s="7" t="s">
        <v>762</v>
      </c>
      <c r="AF45" s="7" t="s">
        <v>763</v>
      </c>
      <c r="AK45" s="7" t="s">
        <v>732</v>
      </c>
      <c r="AL45" s="9" t="s">
        <v>751</v>
      </c>
      <c r="AM45">
        <v>67.305</v>
      </c>
      <c r="AN45">
        <f t="shared" si="15"/>
        <v>67.97805</v>
      </c>
      <c r="AO45">
        <f t="shared" si="16"/>
        <v>-7319.43642101845</v>
      </c>
      <c r="AP45">
        <f t="shared" si="17"/>
        <v>5369.91837787237</v>
      </c>
      <c r="AQ45">
        <f t="shared" si="18"/>
        <v>-1949.51804314608</v>
      </c>
      <c r="AR45">
        <f t="shared" si="19"/>
        <v>9042662.42272704</v>
      </c>
      <c r="AS45">
        <f t="shared" si="7"/>
        <v>113033.280284088</v>
      </c>
      <c r="AT45">
        <f t="shared" si="8"/>
        <v>0.0125</v>
      </c>
      <c r="AW45">
        <v>164.61</v>
      </c>
      <c r="AX45">
        <f t="shared" si="1"/>
        <v>166.2561</v>
      </c>
      <c r="AY45">
        <f t="shared" si="9"/>
        <v>31841.3806545189</v>
      </c>
      <c r="AZ45">
        <f t="shared" si="12"/>
        <v>-85593.751865162</v>
      </c>
      <c r="BA45">
        <f t="shared" si="13"/>
        <v>-53752.3712106431</v>
      </c>
      <c r="BB45">
        <f t="shared" si="14"/>
        <v>9916155.20578367</v>
      </c>
      <c r="BC45">
        <f t="shared" si="2"/>
        <v>123951.940072296</v>
      </c>
      <c r="BD45">
        <f t="shared" si="3"/>
        <v>0.0125</v>
      </c>
      <c r="BG45">
        <f t="shared" si="10"/>
        <v>24521.9442335005</v>
      </c>
      <c r="BH45">
        <f t="shared" si="11"/>
        <v>8616407.41336658</v>
      </c>
      <c r="BI45">
        <f t="shared" si="4"/>
        <v>107705.092667082</v>
      </c>
      <c r="BJ45">
        <f t="shared" si="5"/>
        <v>0.0125</v>
      </c>
    </row>
    <row r="46" spans="1:62">
      <c r="A46" s="4">
        <v>45702</v>
      </c>
      <c r="B46" s="7" t="s">
        <v>764</v>
      </c>
      <c r="C46">
        <v>0.63035</v>
      </c>
      <c r="D46" s="7" t="s">
        <v>744</v>
      </c>
      <c r="E46">
        <v>0.69</v>
      </c>
      <c r="F46" s="7" t="s">
        <v>765</v>
      </c>
      <c r="G46" s="7" t="s">
        <v>766</v>
      </c>
      <c r="H46" s="7" t="s">
        <v>767</v>
      </c>
      <c r="I46" s="7" t="s">
        <v>768</v>
      </c>
      <c r="J46" s="7" t="s">
        <v>769</v>
      </c>
      <c r="K46" s="7" t="s">
        <v>770</v>
      </c>
      <c r="L46" s="9" t="s">
        <v>771</v>
      </c>
      <c r="M46" s="7" t="s">
        <v>772</v>
      </c>
      <c r="N46" s="7" t="s">
        <v>773</v>
      </c>
      <c r="O46">
        <v>0</v>
      </c>
      <c r="P46" s="7" t="s">
        <v>774</v>
      </c>
      <c r="Q46">
        <v>1.6647</v>
      </c>
      <c r="R46">
        <v>1664.7</v>
      </c>
      <c r="S46">
        <v>0.48</v>
      </c>
      <c r="T46" s="7" t="s">
        <v>765</v>
      </c>
      <c r="U46" s="7" t="s">
        <v>775</v>
      </c>
      <c r="V46">
        <v>799.056</v>
      </c>
      <c r="W46" s="7" t="s">
        <v>776</v>
      </c>
      <c r="X46" s="7" t="s">
        <v>777</v>
      </c>
      <c r="Y46" s="7" t="s">
        <v>778</v>
      </c>
      <c r="Z46" s="7" t="s">
        <v>752</v>
      </c>
      <c r="AA46" s="8" t="s">
        <v>779</v>
      </c>
      <c r="AB46" s="7" t="s">
        <v>780</v>
      </c>
      <c r="AC46" s="7" t="s">
        <v>760</v>
      </c>
      <c r="AD46" s="7" t="s">
        <v>781</v>
      </c>
      <c r="AE46">
        <v>-14527.9058660116</v>
      </c>
      <c r="AF46" s="7" t="s">
        <v>782</v>
      </c>
      <c r="AK46" s="7" t="s">
        <v>752</v>
      </c>
      <c r="AL46" s="9" t="s">
        <v>771</v>
      </c>
      <c r="AM46">
        <v>67.715</v>
      </c>
      <c r="AN46">
        <f t="shared" si="15"/>
        <v>68.39215</v>
      </c>
      <c r="AO46">
        <f t="shared" si="16"/>
        <v>-25870.0964933884</v>
      </c>
      <c r="AP46">
        <f t="shared" si="17"/>
        <v>5692.53137700725</v>
      </c>
      <c r="AQ46">
        <f t="shared" si="18"/>
        <v>-20177.5651163811</v>
      </c>
      <c r="AR46">
        <f t="shared" si="19"/>
        <v>9022484.85761066</v>
      </c>
      <c r="AS46">
        <f t="shared" si="7"/>
        <v>112781.060720133</v>
      </c>
      <c r="AT46">
        <f t="shared" si="8"/>
        <v>0.0125</v>
      </c>
      <c r="AW46">
        <v>160.71</v>
      </c>
      <c r="AX46">
        <f t="shared" si="1"/>
        <v>162.3171</v>
      </c>
      <c r="AY46">
        <f t="shared" si="9"/>
        <v>-50344.1362420003</v>
      </c>
      <c r="AZ46">
        <f t="shared" si="12"/>
        <v>-762679.960393951</v>
      </c>
      <c r="BA46">
        <f t="shared" si="13"/>
        <v>-813024.096635952</v>
      </c>
      <c r="BB46">
        <f t="shared" si="14"/>
        <v>9103131.10914772</v>
      </c>
      <c r="BC46">
        <f t="shared" si="2"/>
        <v>113789.138864347</v>
      </c>
      <c r="BD46">
        <f t="shared" si="3"/>
        <v>0.0125</v>
      </c>
      <c r="BG46">
        <f t="shared" si="10"/>
        <v>-76214.2327353887</v>
      </c>
      <c r="BH46">
        <f t="shared" si="11"/>
        <v>8540193.18063119</v>
      </c>
      <c r="BI46">
        <f t="shared" si="4"/>
        <v>106752.41475789</v>
      </c>
      <c r="BJ46">
        <f t="shared" si="5"/>
        <v>0.0125</v>
      </c>
    </row>
    <row r="47" spans="1:62">
      <c r="A47" s="4">
        <v>45705</v>
      </c>
      <c r="B47" s="7" t="s">
        <v>783</v>
      </c>
      <c r="C47">
        <v>0.636</v>
      </c>
      <c r="D47">
        <v>636</v>
      </c>
      <c r="E47">
        <v>0.69</v>
      </c>
      <c r="F47" s="7" t="s">
        <v>784</v>
      </c>
      <c r="G47" s="7" t="s">
        <v>785</v>
      </c>
      <c r="H47">
        <v>438.84</v>
      </c>
      <c r="I47">
        <v>284.58774</v>
      </c>
      <c r="J47" s="7" t="s">
        <v>786</v>
      </c>
      <c r="K47" s="7" t="s">
        <v>787</v>
      </c>
      <c r="L47" s="9" t="s">
        <v>788</v>
      </c>
      <c r="M47" s="7" t="s">
        <v>789</v>
      </c>
      <c r="N47" s="7" t="s">
        <v>790</v>
      </c>
      <c r="O47" s="7" t="s">
        <v>791</v>
      </c>
      <c r="P47" s="7" t="s">
        <v>792</v>
      </c>
      <c r="Q47" s="7" t="s">
        <v>665</v>
      </c>
      <c r="R47" s="7" t="s">
        <v>666</v>
      </c>
      <c r="S47">
        <v>0.48</v>
      </c>
      <c r="T47" s="7" t="s">
        <v>784</v>
      </c>
      <c r="U47" s="7" t="s">
        <v>793</v>
      </c>
      <c r="V47">
        <v>798.528</v>
      </c>
      <c r="W47" s="7" t="s">
        <v>794</v>
      </c>
      <c r="X47" s="7" t="s">
        <v>795</v>
      </c>
      <c r="Y47" s="7" t="s">
        <v>796</v>
      </c>
      <c r="Z47" s="7" t="s">
        <v>772</v>
      </c>
      <c r="AA47" s="8" t="s">
        <v>797</v>
      </c>
      <c r="AB47" s="7" t="s">
        <v>798</v>
      </c>
      <c r="AC47" s="7" t="s">
        <v>780</v>
      </c>
      <c r="AD47" s="7" t="s">
        <v>799</v>
      </c>
      <c r="AE47">
        <v>-22968.5134750336</v>
      </c>
      <c r="AF47" s="7" t="s">
        <v>800</v>
      </c>
      <c r="AK47" s="7" t="s">
        <v>772</v>
      </c>
      <c r="AL47" s="9" t="s">
        <v>788</v>
      </c>
      <c r="AM47">
        <v>67.22</v>
      </c>
      <c r="AN47">
        <f t="shared" si="15"/>
        <v>67.8922</v>
      </c>
      <c r="AO47">
        <f t="shared" si="16"/>
        <v>-15242.0605093097</v>
      </c>
      <c r="AP47">
        <f t="shared" si="17"/>
        <v>-12255.8283173128</v>
      </c>
      <c r="AQ47">
        <f t="shared" si="18"/>
        <v>-27497.8888266225</v>
      </c>
      <c r="AR47">
        <f t="shared" si="19"/>
        <v>8994986.96878404</v>
      </c>
      <c r="AS47">
        <f t="shared" si="7"/>
        <v>112437.3371098</v>
      </c>
      <c r="AT47">
        <f t="shared" si="8"/>
        <v>0.0125</v>
      </c>
      <c r="AW47">
        <v>160.88</v>
      </c>
      <c r="AX47">
        <f t="shared" si="1"/>
        <v>162.4888</v>
      </c>
      <c r="AY47">
        <f t="shared" si="9"/>
        <v>-2032.1647023558</v>
      </c>
      <c r="AZ47">
        <f t="shared" si="12"/>
        <v>29956.6242358086</v>
      </c>
      <c r="BA47">
        <f t="shared" si="13"/>
        <v>27924.4595334528</v>
      </c>
      <c r="BB47">
        <f t="shared" si="14"/>
        <v>9131055.56868117</v>
      </c>
      <c r="BC47">
        <f t="shared" si="2"/>
        <v>114138.194608515</v>
      </c>
      <c r="BD47">
        <f t="shared" si="3"/>
        <v>0.0125</v>
      </c>
      <c r="BG47">
        <f t="shared" si="10"/>
        <v>-17274.2252116655</v>
      </c>
      <c r="BH47">
        <f t="shared" si="11"/>
        <v>8522918.95541953</v>
      </c>
      <c r="BI47">
        <f t="shared" si="4"/>
        <v>106536.486942744</v>
      </c>
      <c r="BJ47">
        <f t="shared" si="5"/>
        <v>0.0125</v>
      </c>
    </row>
    <row r="48" spans="1:62">
      <c r="A48" s="4">
        <v>45706</v>
      </c>
      <c r="B48" s="7" t="s">
        <v>801</v>
      </c>
      <c r="C48">
        <v>0.635</v>
      </c>
      <c r="D48">
        <v>635</v>
      </c>
      <c r="E48">
        <v>0.7</v>
      </c>
      <c r="F48" s="7" t="s">
        <v>802</v>
      </c>
      <c r="G48" s="7" t="s">
        <v>803</v>
      </c>
      <c r="H48">
        <v>444.5</v>
      </c>
      <c r="I48">
        <v>288.25825</v>
      </c>
      <c r="J48" s="7" t="s">
        <v>804</v>
      </c>
      <c r="K48" s="7" t="s">
        <v>805</v>
      </c>
      <c r="L48" s="9" t="s">
        <v>806</v>
      </c>
      <c r="M48" s="7" t="s">
        <v>807</v>
      </c>
      <c r="N48" s="7" t="s">
        <v>808</v>
      </c>
      <c r="O48">
        <v>-18547.2940668453</v>
      </c>
      <c r="P48" s="7" t="s">
        <v>809</v>
      </c>
      <c r="Q48">
        <v>1.6642</v>
      </c>
      <c r="R48" s="7" t="s">
        <v>810</v>
      </c>
      <c r="S48">
        <v>0.5</v>
      </c>
      <c r="T48" s="7" t="s">
        <v>802</v>
      </c>
      <c r="U48" s="7" t="s">
        <v>811</v>
      </c>
      <c r="V48" s="7" t="s">
        <v>812</v>
      </c>
      <c r="W48">
        <v>940.93868</v>
      </c>
      <c r="X48" s="7" t="s">
        <v>813</v>
      </c>
      <c r="Y48" s="7" t="s">
        <v>814</v>
      </c>
      <c r="Z48" s="7" t="s">
        <v>789</v>
      </c>
      <c r="AA48" s="2">
        <v>-29.9995785704439</v>
      </c>
      <c r="AB48" s="7" t="s">
        <v>815</v>
      </c>
      <c r="AC48" s="7" t="s">
        <v>798</v>
      </c>
      <c r="AD48" s="7" t="s">
        <v>816</v>
      </c>
      <c r="AE48" s="7" t="s">
        <v>817</v>
      </c>
      <c r="AF48" s="7" t="s">
        <v>818</v>
      </c>
      <c r="AK48" s="7" t="s">
        <v>789</v>
      </c>
      <c r="AL48" s="9" t="s">
        <v>806</v>
      </c>
      <c r="AM48">
        <v>65.865</v>
      </c>
      <c r="AN48">
        <f t="shared" si="15"/>
        <v>66.52365</v>
      </c>
      <c r="AO48">
        <f t="shared" si="16"/>
        <v>-65755.9417259993</v>
      </c>
      <c r="AP48">
        <f t="shared" si="17"/>
        <v>-85315.7186189462</v>
      </c>
      <c r="AQ48">
        <f t="shared" si="18"/>
        <v>-151071.660344945</v>
      </c>
      <c r="AR48">
        <f t="shared" si="19"/>
        <v>8843915.30843909</v>
      </c>
      <c r="AS48">
        <f t="shared" si="7"/>
        <v>110548.941355489</v>
      </c>
      <c r="AT48">
        <f t="shared" si="8"/>
        <v>0.0125</v>
      </c>
      <c r="AW48">
        <v>161.3</v>
      </c>
      <c r="AX48">
        <f t="shared" si="1"/>
        <v>162.913</v>
      </c>
      <c r="AY48">
        <f t="shared" si="9"/>
        <v>48389.320234126</v>
      </c>
      <c r="AZ48">
        <f t="shared" si="12"/>
        <v>87167.4351960812</v>
      </c>
      <c r="BA48">
        <f t="shared" si="13"/>
        <v>135556.755430207</v>
      </c>
      <c r="BB48">
        <f t="shared" si="14"/>
        <v>9266612.32411138</v>
      </c>
      <c r="BC48">
        <f t="shared" si="2"/>
        <v>115832.654051392</v>
      </c>
      <c r="BD48">
        <f t="shared" si="3"/>
        <v>0.0125</v>
      </c>
      <c r="BG48">
        <f t="shared" si="10"/>
        <v>-17366.6214918733</v>
      </c>
      <c r="BH48">
        <f t="shared" si="11"/>
        <v>8505552.33392766</v>
      </c>
      <c r="BI48">
        <f t="shared" si="4"/>
        <v>106319.404174096</v>
      </c>
      <c r="BJ48">
        <f t="shared" si="5"/>
        <v>0.0125</v>
      </c>
    </row>
    <row r="49" spans="1:62">
      <c r="A49" s="4">
        <v>45707</v>
      </c>
      <c r="B49" s="7" t="s">
        <v>819</v>
      </c>
      <c r="C49">
        <v>0.63495</v>
      </c>
      <c r="D49">
        <v>634.95</v>
      </c>
      <c r="E49">
        <v>0.73</v>
      </c>
      <c r="F49" s="7" t="s">
        <v>820</v>
      </c>
      <c r="G49" s="7" t="s">
        <v>821</v>
      </c>
      <c r="H49">
        <v>463.5135</v>
      </c>
      <c r="I49" s="7" t="s">
        <v>822</v>
      </c>
      <c r="J49" s="7" t="s">
        <v>823</v>
      </c>
      <c r="K49" s="7" t="s">
        <v>824</v>
      </c>
      <c r="L49" s="9" t="s">
        <v>825</v>
      </c>
      <c r="M49" s="7" t="s">
        <v>826</v>
      </c>
      <c r="N49" s="7" t="s">
        <v>827</v>
      </c>
      <c r="O49">
        <v>-1165.26521749672</v>
      </c>
      <c r="P49" s="7" t="s">
        <v>828</v>
      </c>
      <c r="Q49">
        <v>1.6651</v>
      </c>
      <c r="R49" s="7" t="s">
        <v>829</v>
      </c>
      <c r="S49">
        <v>0.5</v>
      </c>
      <c r="T49" s="7" t="s">
        <v>820</v>
      </c>
      <c r="U49" s="7" t="s">
        <v>830</v>
      </c>
      <c r="V49" s="7" t="s">
        <v>831</v>
      </c>
      <c r="W49" s="7" t="s">
        <v>832</v>
      </c>
      <c r="X49" s="7" t="s">
        <v>833</v>
      </c>
      <c r="Y49" s="7" t="s">
        <v>834</v>
      </c>
      <c r="Z49" s="7" t="s">
        <v>807</v>
      </c>
      <c r="AA49" s="2">
        <v>-3.5637453877824</v>
      </c>
      <c r="AB49" s="7" t="s">
        <v>835</v>
      </c>
      <c r="AC49" s="7" t="s">
        <v>815</v>
      </c>
      <c r="AD49" s="7" t="s">
        <v>836</v>
      </c>
      <c r="AE49" s="7" t="s">
        <v>837</v>
      </c>
      <c r="AF49" s="7" t="s">
        <v>838</v>
      </c>
      <c r="AK49" s="7" t="s">
        <v>807</v>
      </c>
      <c r="AL49" s="9" t="s">
        <v>825</v>
      </c>
      <c r="AM49">
        <v>66.155</v>
      </c>
      <c r="AN49">
        <f t="shared" si="15"/>
        <v>66.81655</v>
      </c>
      <c r="AO49">
        <f t="shared" si="16"/>
        <v>-31476.6170276991</v>
      </c>
      <c r="AP49">
        <f t="shared" si="17"/>
        <v>24835.1705566387</v>
      </c>
      <c r="AQ49">
        <f t="shared" si="18"/>
        <v>-6641.44647106039</v>
      </c>
      <c r="AR49">
        <f t="shared" si="19"/>
        <v>8837273.86196803</v>
      </c>
      <c r="AS49">
        <f t="shared" si="7"/>
        <v>110465.9232746</v>
      </c>
      <c r="AT49">
        <f t="shared" si="8"/>
        <v>0.0125</v>
      </c>
      <c r="AW49">
        <v>160.5</v>
      </c>
      <c r="AX49">
        <f t="shared" si="1"/>
        <v>162.105</v>
      </c>
      <c r="AY49">
        <f t="shared" si="9"/>
        <v>5719.81134739072</v>
      </c>
      <c r="AZ49">
        <f t="shared" si="12"/>
        <v>-167043.734363906</v>
      </c>
      <c r="BA49">
        <f t="shared" si="13"/>
        <v>-161323.923016515</v>
      </c>
      <c r="BB49">
        <f t="shared" si="14"/>
        <v>9105288.40109487</v>
      </c>
      <c r="BC49">
        <f t="shared" si="2"/>
        <v>113816.105013686</v>
      </c>
      <c r="BD49">
        <f t="shared" si="3"/>
        <v>0.0125</v>
      </c>
      <c r="BG49">
        <f t="shared" si="10"/>
        <v>-25756.8056803084</v>
      </c>
      <c r="BH49">
        <f t="shared" si="11"/>
        <v>8479795.52824735</v>
      </c>
      <c r="BI49">
        <f t="shared" si="4"/>
        <v>105997.444103092</v>
      </c>
      <c r="BJ49">
        <f t="shared" si="5"/>
        <v>0.0125</v>
      </c>
    </row>
    <row r="50" spans="1:62">
      <c r="A50" s="4">
        <v>45708</v>
      </c>
      <c r="B50" s="7" t="s">
        <v>839</v>
      </c>
      <c r="C50" s="7" t="s">
        <v>840</v>
      </c>
      <c r="D50" s="7" t="s">
        <v>841</v>
      </c>
      <c r="E50">
        <v>0.8</v>
      </c>
      <c r="F50" s="7" t="s">
        <v>842</v>
      </c>
      <c r="G50" s="7" t="s">
        <v>843</v>
      </c>
      <c r="H50">
        <v>512.32</v>
      </c>
      <c r="I50">
        <v>332.23952</v>
      </c>
      <c r="J50" s="7" t="s">
        <v>844</v>
      </c>
      <c r="K50" s="7" t="s">
        <v>845</v>
      </c>
      <c r="L50" s="1">
        <v>-0.682121445594532</v>
      </c>
      <c r="M50" s="7" t="s">
        <v>846</v>
      </c>
      <c r="N50" s="7" t="s">
        <v>847</v>
      </c>
      <c r="O50" s="7" t="s">
        <v>848</v>
      </c>
      <c r="P50" s="7" t="s">
        <v>849</v>
      </c>
      <c r="Q50">
        <v>1.6607</v>
      </c>
      <c r="R50">
        <v>1660.7</v>
      </c>
      <c r="S50">
        <v>0.48</v>
      </c>
      <c r="T50" s="7" t="s">
        <v>842</v>
      </c>
      <c r="U50" s="7" t="s">
        <v>850</v>
      </c>
      <c r="V50">
        <v>797.136</v>
      </c>
      <c r="W50">
        <v>901.4013888</v>
      </c>
      <c r="X50" s="7" t="s">
        <v>851</v>
      </c>
      <c r="Y50" s="7" t="s">
        <v>852</v>
      </c>
      <c r="Z50" s="7" t="s">
        <v>826</v>
      </c>
      <c r="AA50" s="8" t="s">
        <v>853</v>
      </c>
      <c r="AB50" s="7" t="s">
        <v>854</v>
      </c>
      <c r="AC50" s="7" t="s">
        <v>835</v>
      </c>
      <c r="AD50" s="7" t="s">
        <v>855</v>
      </c>
      <c r="AE50">
        <v>-83275.2349836707</v>
      </c>
      <c r="AF50" s="7" t="s">
        <v>856</v>
      </c>
      <c r="AK50" s="7" t="s">
        <v>826</v>
      </c>
      <c r="AL50" s="1">
        <v>-0.682121445594532</v>
      </c>
      <c r="AM50">
        <v>66.125</v>
      </c>
      <c r="AN50">
        <f t="shared" si="15"/>
        <v>65.46375</v>
      </c>
      <c r="AO50">
        <f t="shared" si="16"/>
        <v>-451.052805899381</v>
      </c>
      <c r="AP50">
        <f t="shared" si="17"/>
        <v>-5564.18822005371</v>
      </c>
      <c r="AQ50">
        <f t="shared" si="18"/>
        <v>-6015.24102595309</v>
      </c>
      <c r="AR50">
        <f t="shared" si="19"/>
        <v>8831258.62094208</v>
      </c>
      <c r="AS50">
        <f t="shared" si="7"/>
        <v>110390.732761776</v>
      </c>
      <c r="AT50">
        <f t="shared" si="8"/>
        <v>0.0125</v>
      </c>
      <c r="AW50">
        <v>159.99</v>
      </c>
      <c r="AX50">
        <f t="shared" si="1"/>
        <v>161.5899</v>
      </c>
      <c r="AY50">
        <f t="shared" si="9"/>
        <v>-22431.4838542443</v>
      </c>
      <c r="AZ50">
        <f t="shared" si="12"/>
        <v>-91190.5955860602</v>
      </c>
      <c r="BA50">
        <f t="shared" si="13"/>
        <v>-113622.079440305</v>
      </c>
      <c r="BB50">
        <f t="shared" si="14"/>
        <v>8991666.32165456</v>
      </c>
      <c r="BC50">
        <f t="shared" si="2"/>
        <v>112395.829020682</v>
      </c>
      <c r="BD50">
        <f t="shared" si="3"/>
        <v>0.0125</v>
      </c>
      <c r="BG50">
        <f t="shared" si="10"/>
        <v>-22882.5366601437</v>
      </c>
      <c r="BH50">
        <f t="shared" si="11"/>
        <v>8456912.9915872</v>
      </c>
      <c r="BI50">
        <f t="shared" si="4"/>
        <v>105711.41239484</v>
      </c>
      <c r="BJ50">
        <f t="shared" si="5"/>
        <v>0.0125</v>
      </c>
    </row>
    <row r="51" spans="1:62">
      <c r="A51" s="4">
        <v>45709</v>
      </c>
      <c r="B51" s="7" t="s">
        <v>857</v>
      </c>
      <c r="C51">
        <v>0.6355</v>
      </c>
      <c r="D51">
        <v>635.5</v>
      </c>
      <c r="E51">
        <v>0.81</v>
      </c>
      <c r="F51" s="7" t="s">
        <v>858</v>
      </c>
      <c r="G51" s="7" t="s">
        <v>859</v>
      </c>
      <c r="H51">
        <v>514.755</v>
      </c>
      <c r="I51" s="7" t="s">
        <v>860</v>
      </c>
      <c r="J51" s="7" t="s">
        <v>861</v>
      </c>
      <c r="K51" s="7" t="s">
        <v>862</v>
      </c>
      <c r="L51" s="9" t="s">
        <v>863</v>
      </c>
      <c r="M51" s="7" t="s">
        <v>864</v>
      </c>
      <c r="N51" s="7" t="s">
        <v>865</v>
      </c>
      <c r="O51">
        <v>-149472.284178394</v>
      </c>
      <c r="P51" s="7" t="s">
        <v>866</v>
      </c>
      <c r="Q51" s="7" t="s">
        <v>867</v>
      </c>
      <c r="R51">
        <v>1666.2</v>
      </c>
      <c r="S51">
        <v>0.45</v>
      </c>
      <c r="T51" s="7" t="s">
        <v>858</v>
      </c>
      <c r="U51" s="7" t="s">
        <v>868</v>
      </c>
      <c r="V51" s="7" t="s">
        <v>869</v>
      </c>
      <c r="W51" s="7" t="s">
        <v>870</v>
      </c>
      <c r="X51" s="7" t="s">
        <v>871</v>
      </c>
      <c r="Y51" s="7" t="s">
        <v>872</v>
      </c>
      <c r="Z51" s="7" t="s">
        <v>846</v>
      </c>
      <c r="AA51" s="2">
        <v>-76.5852717690971</v>
      </c>
      <c r="AB51" s="7" t="s">
        <v>873</v>
      </c>
      <c r="AC51" s="7" t="s">
        <v>854</v>
      </c>
      <c r="AD51" s="7" t="s">
        <v>874</v>
      </c>
      <c r="AE51" s="7" t="s">
        <v>875</v>
      </c>
      <c r="AF51" s="7" t="s">
        <v>876</v>
      </c>
      <c r="AK51" s="7" t="s">
        <v>846</v>
      </c>
      <c r="AL51" s="9" t="s">
        <v>863</v>
      </c>
      <c r="AM51">
        <v>66.085</v>
      </c>
      <c r="AN51">
        <f t="shared" si="15"/>
        <v>66.74585</v>
      </c>
      <c r="AO51">
        <f t="shared" si="16"/>
        <v>-48026.980241042</v>
      </c>
      <c r="AP51">
        <f t="shared" si="17"/>
        <v>-9322.12173997046</v>
      </c>
      <c r="AQ51">
        <f t="shared" si="18"/>
        <v>-57349.1019810124</v>
      </c>
      <c r="AR51">
        <f t="shared" si="19"/>
        <v>8773909.51896107</v>
      </c>
      <c r="AS51">
        <f t="shared" si="7"/>
        <v>109673.868987013</v>
      </c>
      <c r="AT51">
        <f t="shared" si="8"/>
        <v>0.0125</v>
      </c>
      <c r="AW51">
        <v>159.01</v>
      </c>
      <c r="AX51">
        <f t="shared" si="1"/>
        <v>160.6001</v>
      </c>
      <c r="AY51">
        <f t="shared" si="9"/>
        <v>121778.240640042</v>
      </c>
      <c r="AZ51">
        <f t="shared" si="12"/>
        <v>-171736.517116722</v>
      </c>
      <c r="BA51">
        <f t="shared" si="13"/>
        <v>-49958.2764766803</v>
      </c>
      <c r="BB51">
        <f t="shared" si="14"/>
        <v>8941708.04517788</v>
      </c>
      <c r="BC51">
        <f t="shared" si="2"/>
        <v>111771.350564724</v>
      </c>
      <c r="BD51">
        <f t="shared" si="3"/>
        <v>0.0125</v>
      </c>
      <c r="BG51">
        <f t="shared" si="10"/>
        <v>73751.2603989998</v>
      </c>
      <c r="BH51">
        <f t="shared" si="11"/>
        <v>8530664.2519862</v>
      </c>
      <c r="BI51">
        <f t="shared" si="4"/>
        <v>106633.303149828</v>
      </c>
      <c r="BJ51">
        <f t="shared" si="5"/>
        <v>0.0125</v>
      </c>
    </row>
    <row r="52" spans="1:62">
      <c r="A52" s="4">
        <v>45712</v>
      </c>
      <c r="B52" s="7" t="s">
        <v>877</v>
      </c>
      <c r="C52">
        <v>0.63575</v>
      </c>
      <c r="D52">
        <v>635.75</v>
      </c>
      <c r="E52">
        <v>0.79</v>
      </c>
      <c r="F52" s="7" t="s">
        <v>878</v>
      </c>
      <c r="G52" s="7" t="s">
        <v>879</v>
      </c>
      <c r="H52">
        <v>502.2425</v>
      </c>
      <c r="I52">
        <v>325.70426125</v>
      </c>
      <c r="J52" s="7" t="s">
        <v>880</v>
      </c>
      <c r="K52" s="7" t="s">
        <v>881</v>
      </c>
      <c r="L52" s="1">
        <v>-25.9203116638529</v>
      </c>
      <c r="M52" s="7" t="s">
        <v>882</v>
      </c>
      <c r="N52" s="7" t="s">
        <v>883</v>
      </c>
      <c r="O52" s="7" t="s">
        <v>884</v>
      </c>
      <c r="P52" s="7" t="s">
        <v>885</v>
      </c>
      <c r="Q52" s="7" t="s">
        <v>886</v>
      </c>
      <c r="R52" s="7" t="s">
        <v>887</v>
      </c>
      <c r="S52">
        <v>0.41</v>
      </c>
      <c r="T52" s="7" t="s">
        <v>878</v>
      </c>
      <c r="U52" s="7" t="s">
        <v>888</v>
      </c>
      <c r="V52">
        <v>682.24</v>
      </c>
      <c r="W52">
        <v>771.476992</v>
      </c>
      <c r="X52" s="7" t="s">
        <v>889</v>
      </c>
      <c r="Y52" s="7" t="s">
        <v>890</v>
      </c>
      <c r="Z52" s="7" t="s">
        <v>864</v>
      </c>
      <c r="AA52" s="8" t="s">
        <v>891</v>
      </c>
      <c r="AB52" s="7" t="s">
        <v>892</v>
      </c>
      <c r="AC52" s="7" t="s">
        <v>873</v>
      </c>
      <c r="AD52" s="7" t="s">
        <v>893</v>
      </c>
      <c r="AE52">
        <v>-37007.0955657041</v>
      </c>
      <c r="AF52" s="7" t="s">
        <v>894</v>
      </c>
      <c r="AK52" s="7" t="s">
        <v>864</v>
      </c>
      <c r="AL52" s="1">
        <v>-25.9203116638529</v>
      </c>
      <c r="AM52">
        <v>66.975</v>
      </c>
      <c r="AN52">
        <f t="shared" si="15"/>
        <v>66.30525</v>
      </c>
      <c r="AO52">
        <f t="shared" si="16"/>
        <v>-17360.1287368657</v>
      </c>
      <c r="AP52">
        <f t="shared" si="17"/>
        <v>206810.120627731</v>
      </c>
      <c r="AQ52">
        <f t="shared" si="18"/>
        <v>189449.991890865</v>
      </c>
      <c r="AR52">
        <f t="shared" si="19"/>
        <v>8963359.51085193</v>
      </c>
      <c r="AS52">
        <f t="shared" si="7"/>
        <v>112041.993885649</v>
      </c>
      <c r="AT52">
        <f t="shared" si="8"/>
        <v>0.0125</v>
      </c>
      <c r="AW52">
        <v>159.19</v>
      </c>
      <c r="AX52">
        <f t="shared" si="1"/>
        <v>160.7819</v>
      </c>
      <c r="AY52">
        <f t="shared" si="9"/>
        <v>-88410.0584282791</v>
      </c>
      <c r="AZ52">
        <f t="shared" si="12"/>
        <v>34067.1415842303</v>
      </c>
      <c r="BA52">
        <f t="shared" si="13"/>
        <v>-54342.9168440488</v>
      </c>
      <c r="BB52">
        <f t="shared" si="14"/>
        <v>8887365.12833383</v>
      </c>
      <c r="BC52">
        <f t="shared" si="2"/>
        <v>111092.064104173</v>
      </c>
      <c r="BD52">
        <f t="shared" si="3"/>
        <v>0.0125</v>
      </c>
      <c r="BG52">
        <f t="shared" si="10"/>
        <v>-105770.187165145</v>
      </c>
      <c r="BH52">
        <f t="shared" si="11"/>
        <v>8424894.06482106</v>
      </c>
      <c r="BI52">
        <f t="shared" si="4"/>
        <v>105311.175810263</v>
      </c>
      <c r="BJ52">
        <f t="shared" si="5"/>
        <v>0.0125</v>
      </c>
    </row>
    <row r="53" spans="1:62">
      <c r="A53" s="4">
        <v>45713</v>
      </c>
      <c r="B53" s="7" t="s">
        <v>895</v>
      </c>
      <c r="C53">
        <v>0.6343</v>
      </c>
      <c r="D53">
        <v>634.3</v>
      </c>
      <c r="E53">
        <v>0.8</v>
      </c>
      <c r="F53" s="7" t="s">
        <v>896</v>
      </c>
      <c r="G53" s="7" t="s">
        <v>897</v>
      </c>
      <c r="H53">
        <v>507.44</v>
      </c>
      <c r="I53">
        <v>329.07484</v>
      </c>
      <c r="J53" s="7" t="s">
        <v>898</v>
      </c>
      <c r="K53" s="7" t="s">
        <v>899</v>
      </c>
      <c r="L53" s="1">
        <v>-9.07074992417943</v>
      </c>
      <c r="M53" s="7" t="s">
        <v>900</v>
      </c>
      <c r="N53" s="7" t="s">
        <v>901</v>
      </c>
      <c r="O53">
        <v>-39157.8903674235</v>
      </c>
      <c r="P53" s="7" t="s">
        <v>902</v>
      </c>
      <c r="Q53">
        <v>1.6627</v>
      </c>
      <c r="R53">
        <v>1662.7</v>
      </c>
      <c r="S53">
        <v>0.38</v>
      </c>
      <c r="T53" s="7" t="s">
        <v>896</v>
      </c>
      <c r="U53" s="7" t="s">
        <v>903</v>
      </c>
      <c r="V53">
        <v>631.826</v>
      </c>
      <c r="W53" s="7" t="s">
        <v>904</v>
      </c>
      <c r="X53" s="7" t="s">
        <v>905</v>
      </c>
      <c r="Y53" s="7" t="s">
        <v>906</v>
      </c>
      <c r="Z53" s="7" t="s">
        <v>882</v>
      </c>
      <c r="AA53" s="2">
        <v>-11.5333421249484</v>
      </c>
      <c r="AB53" s="7" t="s">
        <v>907</v>
      </c>
      <c r="AC53" s="7" t="s">
        <v>892</v>
      </c>
      <c r="AD53" s="7" t="s">
        <v>908</v>
      </c>
      <c r="AE53">
        <v>-20368.4947216721</v>
      </c>
      <c r="AF53" s="7" t="s">
        <v>909</v>
      </c>
      <c r="AK53" s="7" t="s">
        <v>882</v>
      </c>
      <c r="AL53" s="1">
        <v>-9.07074992417943</v>
      </c>
      <c r="AM53">
        <v>67.085</v>
      </c>
      <c r="AN53">
        <f t="shared" si="15"/>
        <v>66.41415</v>
      </c>
      <c r="AO53">
        <f t="shared" si="16"/>
        <v>-6085.11258663578</v>
      </c>
      <c r="AP53">
        <f t="shared" si="17"/>
        <v>33555.0025706592</v>
      </c>
      <c r="AQ53">
        <f t="shared" si="18"/>
        <v>27469.8899840234</v>
      </c>
      <c r="AR53">
        <f t="shared" si="19"/>
        <v>8990829.40083595</v>
      </c>
      <c r="AS53">
        <f t="shared" si="7"/>
        <v>112385.367510449</v>
      </c>
      <c r="AT53">
        <f t="shared" si="8"/>
        <v>0.0125</v>
      </c>
      <c r="AW53">
        <v>159.56</v>
      </c>
      <c r="AX53">
        <f t="shared" si="1"/>
        <v>161.1556</v>
      </c>
      <c r="AY53">
        <f t="shared" si="9"/>
        <v>18402.6006945676</v>
      </c>
      <c r="AZ53">
        <f t="shared" si="12"/>
        <v>41690.3515907942</v>
      </c>
      <c r="BA53">
        <f t="shared" si="13"/>
        <v>60092.9522853617</v>
      </c>
      <c r="BB53">
        <f t="shared" si="14"/>
        <v>8947458.08061919</v>
      </c>
      <c r="BC53">
        <f t="shared" si="2"/>
        <v>111843.22600774</v>
      </c>
      <c r="BD53">
        <f t="shared" si="3"/>
        <v>0.0125</v>
      </c>
      <c r="BG53">
        <f t="shared" si="10"/>
        <v>12317.4881079318</v>
      </c>
      <c r="BH53">
        <f t="shared" si="11"/>
        <v>8437211.55292899</v>
      </c>
      <c r="BI53">
        <f t="shared" si="4"/>
        <v>105465.144411612</v>
      </c>
      <c r="BJ53">
        <f t="shared" si="5"/>
        <v>0.0125</v>
      </c>
    </row>
    <row r="54" spans="1:62">
      <c r="A54" s="4">
        <v>45714</v>
      </c>
      <c r="B54" s="7" t="s">
        <v>910</v>
      </c>
      <c r="C54">
        <v>0.6309</v>
      </c>
      <c r="D54">
        <v>630.9</v>
      </c>
      <c r="E54">
        <v>0.8</v>
      </c>
      <c r="F54" s="7" t="s">
        <v>911</v>
      </c>
      <c r="G54" s="7" t="s">
        <v>912</v>
      </c>
      <c r="H54">
        <v>504.72</v>
      </c>
      <c r="I54">
        <v>327.31092</v>
      </c>
      <c r="J54" s="7" t="s">
        <v>913</v>
      </c>
      <c r="K54" s="7" t="s">
        <v>914</v>
      </c>
      <c r="L54" s="1">
        <v>-29.3535490933589</v>
      </c>
      <c r="M54" s="7" t="s">
        <v>915</v>
      </c>
      <c r="N54" s="7" t="s">
        <v>916</v>
      </c>
      <c r="O54">
        <v>-81838.294859455</v>
      </c>
      <c r="P54" s="7" t="s">
        <v>917</v>
      </c>
      <c r="Q54">
        <v>1.6568</v>
      </c>
      <c r="R54">
        <v>1656.8</v>
      </c>
      <c r="S54">
        <v>0.35</v>
      </c>
      <c r="T54" s="7" t="s">
        <v>911</v>
      </c>
      <c r="U54" s="7" t="s">
        <v>918</v>
      </c>
      <c r="V54">
        <v>579.88</v>
      </c>
      <c r="W54">
        <v>655.728304</v>
      </c>
      <c r="X54" s="7" t="s">
        <v>919</v>
      </c>
      <c r="Y54" s="7" t="s">
        <v>920</v>
      </c>
      <c r="Z54" s="7" t="s">
        <v>900</v>
      </c>
      <c r="AA54" s="2">
        <v>-28.168995093627</v>
      </c>
      <c r="AB54" s="7" t="s">
        <v>921</v>
      </c>
      <c r="AC54" s="7" t="s">
        <v>907</v>
      </c>
      <c r="AD54" s="7" t="s">
        <v>922</v>
      </c>
      <c r="AE54">
        <v>-75821.9227854297</v>
      </c>
      <c r="AF54" s="7" t="s">
        <v>923</v>
      </c>
      <c r="AK54" s="7" t="s">
        <v>900</v>
      </c>
      <c r="AL54" s="1">
        <v>-29.3535490933589</v>
      </c>
      <c r="AM54">
        <v>66.47</v>
      </c>
      <c r="AN54">
        <f t="shared" si="15"/>
        <v>65.8053</v>
      </c>
      <c r="AO54">
        <f t="shared" si="16"/>
        <v>-19511.3040823556</v>
      </c>
      <c r="AP54">
        <f t="shared" si="17"/>
        <v>-171661.977244506</v>
      </c>
      <c r="AQ54">
        <f t="shared" si="18"/>
        <v>-191173.281326862</v>
      </c>
      <c r="AR54">
        <f t="shared" si="19"/>
        <v>8799656.11950909</v>
      </c>
      <c r="AS54">
        <f t="shared" si="7"/>
        <v>109995.701493864</v>
      </c>
      <c r="AT54">
        <f t="shared" si="8"/>
        <v>0.0125</v>
      </c>
      <c r="AW54">
        <v>160.09</v>
      </c>
      <c r="AX54">
        <f t="shared" si="1"/>
        <v>161.6909</v>
      </c>
      <c r="AY54">
        <f t="shared" si="9"/>
        <v>45095.7442453873</v>
      </c>
      <c r="AZ54">
        <f t="shared" si="12"/>
        <v>89153.4574991967</v>
      </c>
      <c r="BA54">
        <f t="shared" si="13"/>
        <v>134249.201744584</v>
      </c>
      <c r="BB54">
        <f t="shared" si="14"/>
        <v>9081707.28236378</v>
      </c>
      <c r="BC54">
        <f t="shared" si="2"/>
        <v>113521.341029547</v>
      </c>
      <c r="BD54">
        <f t="shared" si="3"/>
        <v>0.0125</v>
      </c>
      <c r="BG54">
        <f t="shared" si="10"/>
        <v>25584.4401630318</v>
      </c>
      <c r="BH54">
        <f t="shared" si="11"/>
        <v>8462795.99309202</v>
      </c>
      <c r="BI54">
        <f t="shared" si="4"/>
        <v>105784.94991365</v>
      </c>
      <c r="BJ54">
        <f t="shared" si="5"/>
        <v>0.0125</v>
      </c>
    </row>
    <row r="55" spans="1:62">
      <c r="A55" s="4">
        <v>45715</v>
      </c>
      <c r="B55" s="7" t="s">
        <v>924</v>
      </c>
      <c r="C55">
        <v>0.6244</v>
      </c>
      <c r="D55">
        <v>624.4</v>
      </c>
      <c r="E55">
        <v>0.83</v>
      </c>
      <c r="F55" s="7" t="s">
        <v>925</v>
      </c>
      <c r="G55" s="7" t="s">
        <v>926</v>
      </c>
      <c r="H55">
        <v>518.252</v>
      </c>
      <c r="I55" s="7" t="s">
        <v>927</v>
      </c>
      <c r="J55" s="7" t="s">
        <v>928</v>
      </c>
      <c r="K55" s="7" t="s">
        <v>929</v>
      </c>
      <c r="L55" s="1">
        <v>-83.788585489676</v>
      </c>
      <c r="M55" s="7" t="s">
        <v>930</v>
      </c>
      <c r="N55" s="7" t="s">
        <v>931</v>
      </c>
      <c r="O55">
        <v>-101992.983133612</v>
      </c>
      <c r="P55">
        <v>-0.987987678306645</v>
      </c>
      <c r="Q55">
        <v>1.6531</v>
      </c>
      <c r="R55">
        <v>1653.1</v>
      </c>
      <c r="S55">
        <v>0.35</v>
      </c>
      <c r="T55" s="7" t="s">
        <v>925</v>
      </c>
      <c r="U55" s="7" t="s">
        <v>932</v>
      </c>
      <c r="V55" s="7" t="s">
        <v>933</v>
      </c>
      <c r="W55" s="7" t="s">
        <v>934</v>
      </c>
      <c r="X55" s="7" t="s">
        <v>935</v>
      </c>
      <c r="Y55">
        <v>-27.0147382414551</v>
      </c>
      <c r="Z55" s="7" t="s">
        <v>915</v>
      </c>
      <c r="AA55" s="2">
        <v>-158.660181412089</v>
      </c>
      <c r="AB55">
        <v>-30.1484478774639</v>
      </c>
      <c r="AC55" s="7" t="s">
        <v>921</v>
      </c>
      <c r="AD55" s="7" t="s">
        <v>936</v>
      </c>
      <c r="AE55" s="7" t="s">
        <v>937</v>
      </c>
      <c r="AF55" s="7" t="s">
        <v>938</v>
      </c>
      <c r="AK55" s="7" t="s">
        <v>915</v>
      </c>
      <c r="AL55" s="1">
        <v>-83.788585489676</v>
      </c>
      <c r="AM55">
        <v>66.72</v>
      </c>
      <c r="AN55">
        <f t="shared" si="15"/>
        <v>66.0528</v>
      </c>
      <c r="AO55">
        <f t="shared" si="16"/>
        <v>-55903.7442387113</v>
      </c>
      <c r="AP55">
        <f t="shared" si="17"/>
        <v>67513.604081763</v>
      </c>
      <c r="AQ55">
        <f t="shared" si="18"/>
        <v>11609.8598430517</v>
      </c>
      <c r="AR55">
        <f t="shared" si="19"/>
        <v>8811265.97935214</v>
      </c>
      <c r="AS55">
        <f t="shared" si="7"/>
        <v>110140.824741902</v>
      </c>
      <c r="AT55">
        <f t="shared" si="8"/>
        <v>0.0125</v>
      </c>
      <c r="AW55">
        <v>159.72</v>
      </c>
      <c r="AX55">
        <f t="shared" si="1"/>
        <v>161.3172</v>
      </c>
      <c r="AY55">
        <f t="shared" si="9"/>
        <v>253412.041751391</v>
      </c>
      <c r="AZ55">
        <f t="shared" si="12"/>
        <v>-57971.8695924539</v>
      </c>
      <c r="BA55">
        <f t="shared" si="13"/>
        <v>195440.172158937</v>
      </c>
      <c r="BB55">
        <f t="shared" si="14"/>
        <v>9277147.45452271</v>
      </c>
      <c r="BC55">
        <f t="shared" si="2"/>
        <v>115964.343181534</v>
      </c>
      <c r="BD55">
        <f t="shared" si="3"/>
        <v>0.0125</v>
      </c>
      <c r="BG55">
        <f t="shared" si="10"/>
        <v>197508.29751268</v>
      </c>
      <c r="BH55">
        <f t="shared" si="11"/>
        <v>8660304.2906047</v>
      </c>
      <c r="BI55">
        <f t="shared" si="4"/>
        <v>108253.803632559</v>
      </c>
      <c r="BJ55">
        <f t="shared" si="5"/>
        <v>0.0125</v>
      </c>
    </row>
    <row r="56" spans="1:62">
      <c r="A56" s="4">
        <v>45716</v>
      </c>
      <c r="B56" s="7" t="s">
        <v>939</v>
      </c>
      <c r="C56">
        <v>0.61985</v>
      </c>
      <c r="D56">
        <v>619.85</v>
      </c>
      <c r="E56">
        <v>0.89</v>
      </c>
      <c r="F56" s="7" t="s">
        <v>940</v>
      </c>
      <c r="G56" s="7" t="s">
        <v>941</v>
      </c>
      <c r="H56">
        <v>551.6665</v>
      </c>
      <c r="I56">
        <v>357.75572525</v>
      </c>
      <c r="J56" s="7" t="s">
        <v>942</v>
      </c>
      <c r="K56" s="7" t="s">
        <v>943</v>
      </c>
      <c r="L56" s="1">
        <v>-148.084256033756</v>
      </c>
      <c r="M56" s="7" t="s">
        <v>944</v>
      </c>
      <c r="N56" s="7" t="s">
        <v>945</v>
      </c>
      <c r="O56">
        <v>-4016.75169816899</v>
      </c>
      <c r="P56">
        <v>-5.14307912701117</v>
      </c>
      <c r="Q56" s="7" t="s">
        <v>946</v>
      </c>
      <c r="R56">
        <v>1652.2</v>
      </c>
      <c r="S56">
        <v>0.34</v>
      </c>
      <c r="T56" s="7" t="s">
        <v>940</v>
      </c>
      <c r="U56" s="7" t="s">
        <v>947</v>
      </c>
      <c r="V56">
        <v>561.748</v>
      </c>
      <c r="W56" s="7" t="s">
        <v>948</v>
      </c>
      <c r="X56" s="7" t="s">
        <v>949</v>
      </c>
      <c r="Y56">
        <v>-148.027113852093</v>
      </c>
      <c r="Z56" s="7" t="s">
        <v>930</v>
      </c>
      <c r="AA56" s="2">
        <v>-135.049811181472</v>
      </c>
      <c r="AB56">
        <v>-165.198259058936</v>
      </c>
      <c r="AC56">
        <v>-30.1484478774639</v>
      </c>
      <c r="AD56" s="7" t="s">
        <v>950</v>
      </c>
      <c r="AE56" s="7" t="s">
        <v>951</v>
      </c>
      <c r="AF56" s="7" t="s">
        <v>952</v>
      </c>
      <c r="AK56" s="7" t="s">
        <v>930</v>
      </c>
      <c r="AL56" s="1">
        <v>-148.084256033756</v>
      </c>
      <c r="AM56">
        <v>67.35</v>
      </c>
      <c r="AN56">
        <f t="shared" si="15"/>
        <v>66.6765</v>
      </c>
      <c r="AO56">
        <f t="shared" si="16"/>
        <v>-99734.7464387353</v>
      </c>
      <c r="AP56">
        <f t="shared" si="17"/>
        <v>151641.546357226</v>
      </c>
      <c r="AQ56">
        <f t="shared" si="18"/>
        <v>51906.7999184902</v>
      </c>
      <c r="AR56">
        <f t="shared" si="19"/>
        <v>8863172.77927063</v>
      </c>
      <c r="AS56">
        <f t="shared" si="7"/>
        <v>110789.659740883</v>
      </c>
      <c r="AT56">
        <f t="shared" si="8"/>
        <v>0.0125</v>
      </c>
      <c r="AW56">
        <v>159.82</v>
      </c>
      <c r="AX56">
        <f t="shared" si="1"/>
        <v>161.4182</v>
      </c>
      <c r="AY56">
        <f t="shared" si="9"/>
        <v>215836.608230227</v>
      </c>
      <c r="AZ56">
        <f t="shared" si="12"/>
        <v>12851.1733534618</v>
      </c>
      <c r="BA56">
        <f t="shared" si="13"/>
        <v>228687.781583689</v>
      </c>
      <c r="BB56">
        <f t="shared" si="14"/>
        <v>9505835.2361064</v>
      </c>
      <c r="BC56">
        <f t="shared" si="2"/>
        <v>118822.94045133</v>
      </c>
      <c r="BD56">
        <f t="shared" si="3"/>
        <v>0.0125</v>
      </c>
      <c r="BG56">
        <f t="shared" si="10"/>
        <v>116101.861791492</v>
      </c>
      <c r="BH56">
        <f t="shared" si="11"/>
        <v>8776406.15239619</v>
      </c>
      <c r="BI56">
        <f t="shared" si="4"/>
        <v>109705.076904952</v>
      </c>
      <c r="BJ56">
        <f t="shared" si="5"/>
        <v>0.0125</v>
      </c>
    </row>
    <row r="57" spans="1:62">
      <c r="A57" s="4">
        <v>45719</v>
      </c>
      <c r="B57">
        <v>-3.43322343505027</v>
      </c>
      <c r="C57">
        <v>0.6223</v>
      </c>
      <c r="D57">
        <v>622.3</v>
      </c>
      <c r="E57">
        <v>0.91</v>
      </c>
      <c r="F57" s="7" t="s">
        <v>953</v>
      </c>
      <c r="G57" s="7" t="s">
        <v>954</v>
      </c>
      <c r="H57">
        <v>566.293</v>
      </c>
      <c r="I57" s="7" t="s">
        <v>955</v>
      </c>
      <c r="J57" s="7" t="s">
        <v>956</v>
      </c>
      <c r="K57">
        <v>-174.601447381906</v>
      </c>
      <c r="L57" s="1">
        <v>-138.7315025624</v>
      </c>
      <c r="M57">
        <v>-129.903476852138</v>
      </c>
      <c r="N57" s="7" t="s">
        <v>957</v>
      </c>
      <c r="O57">
        <v>-31826.3518287736</v>
      </c>
      <c r="P57">
        <v>-7.29848924614492</v>
      </c>
      <c r="Q57" s="7" t="s">
        <v>958</v>
      </c>
      <c r="R57" s="7" t="s">
        <v>959</v>
      </c>
      <c r="S57">
        <v>0.48</v>
      </c>
      <c r="T57" s="7" t="s">
        <v>953</v>
      </c>
      <c r="U57" s="7" t="s">
        <v>960</v>
      </c>
      <c r="V57" s="7" t="s">
        <v>961</v>
      </c>
      <c r="W57" s="7" t="s">
        <v>962</v>
      </c>
      <c r="X57" s="7" t="s">
        <v>963</v>
      </c>
      <c r="Y57">
        <v>-154.0312051965</v>
      </c>
      <c r="Z57" s="7" t="s">
        <v>944</v>
      </c>
      <c r="AA57" s="2">
        <v>-6.70056594035801</v>
      </c>
      <c r="AB57">
        <v>-171.898824999294</v>
      </c>
      <c r="AC57">
        <v>-165.198259058936</v>
      </c>
      <c r="AD57" s="7" t="s">
        <v>964</v>
      </c>
      <c r="AE57" s="7" t="s">
        <v>965</v>
      </c>
      <c r="AF57" s="7" t="s">
        <v>966</v>
      </c>
      <c r="AK57" s="7" t="s">
        <v>944</v>
      </c>
      <c r="AL57" s="1">
        <v>-138.7315025624</v>
      </c>
      <c r="AM57">
        <v>67.385</v>
      </c>
      <c r="AN57">
        <f t="shared" si="15"/>
        <v>66.71115</v>
      </c>
      <c r="AO57">
        <f t="shared" si="16"/>
        <v>-93484.2230016735</v>
      </c>
      <c r="AP57">
        <f t="shared" si="17"/>
        <v>5491.92986104229</v>
      </c>
      <c r="AQ57">
        <f t="shared" si="18"/>
        <v>-87992.2931406312</v>
      </c>
      <c r="AR57">
        <f t="shared" si="19"/>
        <v>8775180.48613</v>
      </c>
      <c r="AS57">
        <f t="shared" si="7"/>
        <v>109689.756076625</v>
      </c>
      <c r="AT57">
        <f t="shared" si="8"/>
        <v>0.0125</v>
      </c>
      <c r="AW57">
        <v>159.78</v>
      </c>
      <c r="AX57">
        <f t="shared" si="1"/>
        <v>161.3778</v>
      </c>
      <c r="AY57">
        <f t="shared" si="9"/>
        <v>10706.1642595041</v>
      </c>
      <c r="AZ57">
        <f t="shared" si="12"/>
        <v>1205.93791509832</v>
      </c>
      <c r="BA57">
        <f t="shared" si="13"/>
        <v>11912.1021746024</v>
      </c>
      <c r="BB57">
        <f t="shared" si="14"/>
        <v>9517747.33828101</v>
      </c>
      <c r="BC57">
        <f t="shared" si="2"/>
        <v>118971.841728513</v>
      </c>
      <c r="BD57">
        <f t="shared" si="3"/>
        <v>0.0125</v>
      </c>
      <c r="BG57">
        <f t="shared" si="10"/>
        <v>-82778.0587421694</v>
      </c>
      <c r="BH57">
        <f t="shared" si="11"/>
        <v>8693628.09365402</v>
      </c>
      <c r="BI57">
        <f t="shared" si="4"/>
        <v>108670.351170675</v>
      </c>
      <c r="BJ57">
        <f t="shared" si="5"/>
        <v>0.0125</v>
      </c>
    </row>
    <row r="58" spans="1:62">
      <c r="A58" s="4">
        <v>45720</v>
      </c>
      <c r="B58">
        <v>-4.71930790208161</v>
      </c>
      <c r="C58">
        <v>0.6247</v>
      </c>
      <c r="D58">
        <v>624.7</v>
      </c>
      <c r="E58">
        <v>0.91</v>
      </c>
      <c r="F58" s="7" t="s">
        <v>967</v>
      </c>
      <c r="G58" s="7" t="s">
        <v>968</v>
      </c>
      <c r="H58" s="7" t="s">
        <v>969</v>
      </c>
      <c r="I58" s="7" t="s">
        <v>970</v>
      </c>
      <c r="J58" s="7" t="s">
        <v>971</v>
      </c>
      <c r="K58">
        <v>-240.64130563463</v>
      </c>
      <c r="L58" s="1">
        <v>-49.1336545400264</v>
      </c>
      <c r="M58">
        <v>-179.037131392165</v>
      </c>
      <c r="N58" s="7" t="s">
        <v>972</v>
      </c>
      <c r="O58">
        <v>-42968.9115341199</v>
      </c>
      <c r="P58">
        <v>-14.233339558435</v>
      </c>
      <c r="Q58" s="7" t="s">
        <v>973</v>
      </c>
      <c r="R58" s="7" t="s">
        <v>974</v>
      </c>
      <c r="S58">
        <v>0.59</v>
      </c>
      <c r="T58" s="7" t="s">
        <v>967</v>
      </c>
      <c r="U58" s="7" t="s">
        <v>975</v>
      </c>
      <c r="V58">
        <v>961.464</v>
      </c>
      <c r="W58" s="7" t="s">
        <v>976</v>
      </c>
      <c r="X58" s="7" t="s">
        <v>977</v>
      </c>
      <c r="Y58">
        <v>-246.094962423111</v>
      </c>
      <c r="Z58">
        <v>-129.903476852138</v>
      </c>
      <c r="AA58" s="2">
        <v>-102.743153064897</v>
      </c>
      <c r="AB58">
        <v>-274.641978064192</v>
      </c>
      <c r="AC58">
        <v>-171.898824999294</v>
      </c>
      <c r="AD58" s="7" t="s">
        <v>978</v>
      </c>
      <c r="AE58" s="7" t="s">
        <v>979</v>
      </c>
      <c r="AF58" s="7" t="s">
        <v>980</v>
      </c>
      <c r="AK58">
        <v>-129.903476852138</v>
      </c>
      <c r="AL58" s="1">
        <v>-49.1336545400264</v>
      </c>
      <c r="AM58">
        <v>66.87</v>
      </c>
      <c r="AN58">
        <f t="shared" si="15"/>
        <v>66.2013</v>
      </c>
      <c r="AO58">
        <f t="shared" si="16"/>
        <v>-32855.6747909157</v>
      </c>
      <c r="AP58">
        <f t="shared" si="17"/>
        <v>-4546.4332407847</v>
      </c>
      <c r="AQ58">
        <f t="shared" si="18"/>
        <v>-37402.1080317004</v>
      </c>
      <c r="AR58">
        <f t="shared" si="19"/>
        <v>8737778.3780983</v>
      </c>
      <c r="AS58">
        <f t="shared" si="7"/>
        <v>109222.229726229</v>
      </c>
      <c r="AT58">
        <f t="shared" si="8"/>
        <v>0.0125</v>
      </c>
      <c r="AW58">
        <v>159.56</v>
      </c>
      <c r="AX58">
        <f t="shared" si="1"/>
        <v>161.1556</v>
      </c>
      <c r="AY58">
        <f t="shared" si="9"/>
        <v>163936.975030349</v>
      </c>
      <c r="AZ58">
        <f t="shared" si="12"/>
        <v>36343.6169929657</v>
      </c>
      <c r="BA58">
        <f t="shared" si="13"/>
        <v>200280.592023314</v>
      </c>
      <c r="BB58">
        <f t="shared" si="14"/>
        <v>9718027.93030432</v>
      </c>
      <c r="BC58">
        <f t="shared" si="2"/>
        <v>121475.349128804</v>
      </c>
      <c r="BD58">
        <f t="shared" si="3"/>
        <v>0.0125</v>
      </c>
      <c r="BG58">
        <f t="shared" si="10"/>
        <v>131081.300239433</v>
      </c>
      <c r="BH58">
        <f t="shared" si="11"/>
        <v>8824709.39389346</v>
      </c>
      <c r="BI58">
        <f t="shared" si="4"/>
        <v>110308.867423668</v>
      </c>
      <c r="BJ58">
        <f t="shared" si="5"/>
        <v>0.0125</v>
      </c>
    </row>
    <row r="59" spans="1:62">
      <c r="A59" s="4">
        <v>45721</v>
      </c>
      <c r="B59">
        <v>-4.60917089632139</v>
      </c>
      <c r="C59">
        <v>0.634</v>
      </c>
      <c r="D59">
        <v>634</v>
      </c>
      <c r="E59">
        <v>0.89</v>
      </c>
      <c r="F59" s="7" t="s">
        <v>981</v>
      </c>
      <c r="G59" s="7" t="s">
        <v>982</v>
      </c>
      <c r="H59">
        <v>564.26</v>
      </c>
      <c r="I59" s="7" t="s">
        <v>983</v>
      </c>
      <c r="J59" s="7" t="s">
        <v>984</v>
      </c>
      <c r="K59">
        <v>-239.901263660209</v>
      </c>
      <c r="L59" s="9" t="s">
        <v>985</v>
      </c>
      <c r="M59">
        <v>-178.486540163195</v>
      </c>
      <c r="N59" s="7" t="s">
        <v>986</v>
      </c>
      <c r="O59">
        <v>-165992.482351772</v>
      </c>
      <c r="P59">
        <v>-16.980911243552</v>
      </c>
      <c r="Q59" s="7" t="s">
        <v>987</v>
      </c>
      <c r="R59" s="7" t="s">
        <v>988</v>
      </c>
      <c r="S59">
        <v>0.65</v>
      </c>
      <c r="T59" s="7" t="s">
        <v>981</v>
      </c>
      <c r="U59" s="7" t="s">
        <v>989</v>
      </c>
      <c r="V59" s="7" t="s">
        <v>990</v>
      </c>
      <c r="W59" s="7" t="s">
        <v>991</v>
      </c>
      <c r="X59" s="7" t="s">
        <v>992</v>
      </c>
      <c r="Y59">
        <v>-269.035912866665</v>
      </c>
      <c r="Z59">
        <v>-179.037131392165</v>
      </c>
      <c r="AA59" s="2">
        <v>-25.6021006950056</v>
      </c>
      <c r="AB59">
        <v>-300.244078759198</v>
      </c>
      <c r="AC59">
        <v>-274.641978064192</v>
      </c>
      <c r="AD59" s="7" t="s">
        <v>993</v>
      </c>
      <c r="AE59">
        <v>-177144.006467927</v>
      </c>
      <c r="AF59" s="7" t="s">
        <v>994</v>
      </c>
      <c r="AK59">
        <v>-179.037131392165</v>
      </c>
      <c r="AL59" s="9" t="s">
        <v>985</v>
      </c>
      <c r="AM59">
        <v>67.505</v>
      </c>
      <c r="AN59">
        <f t="shared" si="15"/>
        <v>68.18005</v>
      </c>
      <c r="AO59">
        <f t="shared" si="16"/>
        <v>-371.676609115703</v>
      </c>
      <c r="AP59">
        <f t="shared" si="17"/>
        <v>-82488.7078011064</v>
      </c>
      <c r="AQ59">
        <f t="shared" si="18"/>
        <v>-82860.3844102221</v>
      </c>
      <c r="AR59">
        <f t="shared" si="19"/>
        <v>8654917.99368808</v>
      </c>
      <c r="AS59">
        <f t="shared" si="7"/>
        <v>108186.474921101</v>
      </c>
      <c r="AT59">
        <f t="shared" si="8"/>
        <v>0.0125</v>
      </c>
      <c r="AW59">
        <v>160.2</v>
      </c>
      <c r="AX59">
        <f t="shared" si="1"/>
        <v>161.802</v>
      </c>
      <c r="AY59">
        <f t="shared" si="9"/>
        <v>41014.5653133991</v>
      </c>
      <c r="AZ59">
        <f t="shared" si="12"/>
        <v>-110015.247999546</v>
      </c>
      <c r="BA59">
        <f t="shared" si="13"/>
        <v>-69000.6826861467</v>
      </c>
      <c r="BB59">
        <f t="shared" si="14"/>
        <v>9649027.24761817</v>
      </c>
      <c r="BC59">
        <f t="shared" si="2"/>
        <v>120612.840595227</v>
      </c>
      <c r="BD59">
        <f t="shared" si="3"/>
        <v>0.0125</v>
      </c>
      <c r="BG59">
        <f t="shared" si="10"/>
        <v>40642.8887042834</v>
      </c>
      <c r="BH59">
        <f t="shared" si="11"/>
        <v>8865352.28259774</v>
      </c>
      <c r="BI59">
        <f t="shared" si="4"/>
        <v>110816.903532472</v>
      </c>
      <c r="BJ59">
        <f t="shared" si="5"/>
        <v>0.0125</v>
      </c>
    </row>
    <row r="60" spans="1:62">
      <c r="A60" s="4">
        <v>45722</v>
      </c>
      <c r="B60">
        <v>-1.00498405593464</v>
      </c>
      <c r="C60">
        <v>0.6337</v>
      </c>
      <c r="D60">
        <v>633.7</v>
      </c>
      <c r="E60">
        <v>0.89</v>
      </c>
      <c r="F60" s="7" t="s">
        <v>995</v>
      </c>
      <c r="G60" s="7" t="s">
        <v>996</v>
      </c>
      <c r="H60">
        <v>563.993</v>
      </c>
      <c r="I60">
        <v>365.7494605</v>
      </c>
      <c r="J60" s="7" t="s">
        <v>997</v>
      </c>
      <c r="K60">
        <v>-52.4778737105252</v>
      </c>
      <c r="L60" s="9" t="s">
        <v>998</v>
      </c>
      <c r="M60">
        <v>-39.0435380406307</v>
      </c>
      <c r="N60" s="7" t="s">
        <v>999</v>
      </c>
      <c r="O60" s="7" t="s">
        <v>1000</v>
      </c>
      <c r="P60">
        <v>-16.9149223460385</v>
      </c>
      <c r="Q60">
        <v>1.6454</v>
      </c>
      <c r="R60" s="7" t="s">
        <v>1001</v>
      </c>
      <c r="S60">
        <v>0.66</v>
      </c>
      <c r="T60" s="7" t="s">
        <v>995</v>
      </c>
      <c r="U60" s="7" t="s">
        <v>1002</v>
      </c>
      <c r="V60">
        <v>1085.964</v>
      </c>
      <c r="W60" s="7" t="s">
        <v>1003</v>
      </c>
      <c r="X60" s="7" t="s">
        <v>1004</v>
      </c>
      <c r="Y60">
        <v>-263.068914352011</v>
      </c>
      <c r="Z60">
        <v>-178.486540163195</v>
      </c>
      <c r="AA60" s="8" t="s">
        <v>1005</v>
      </c>
      <c r="AB60">
        <v>-293.584908416845</v>
      </c>
      <c r="AC60">
        <v>-300.244078759198</v>
      </c>
      <c r="AD60" s="7" t="s">
        <v>1006</v>
      </c>
      <c r="AE60">
        <v>-290649.059332671</v>
      </c>
      <c r="AF60" s="7" t="s">
        <v>1007</v>
      </c>
      <c r="AK60">
        <v>-178.486540163195</v>
      </c>
      <c r="AL60" s="9" t="s">
        <v>998</v>
      </c>
      <c r="AM60">
        <v>66.985</v>
      </c>
      <c r="AN60">
        <f t="shared" si="15"/>
        <v>67.65485</v>
      </c>
      <c r="AO60">
        <f t="shared" si="16"/>
        <v>-93405.8949717997</v>
      </c>
      <c r="AP60">
        <f t="shared" si="17"/>
        <v>93099.3083239251</v>
      </c>
      <c r="AQ60">
        <f t="shared" si="18"/>
        <v>-306.586647874588</v>
      </c>
      <c r="AR60">
        <f t="shared" si="19"/>
        <v>8654611.4070402</v>
      </c>
      <c r="AS60">
        <f t="shared" si="7"/>
        <v>108182.642588003</v>
      </c>
      <c r="AT60">
        <f t="shared" si="8"/>
        <v>0.0125</v>
      </c>
      <c r="AW60">
        <v>160.03</v>
      </c>
      <c r="AX60">
        <f t="shared" si="1"/>
        <v>161.6303</v>
      </c>
      <c r="AY60">
        <f t="shared" si="9"/>
        <v>-10656.6702988676</v>
      </c>
      <c r="AZ60">
        <f t="shared" si="12"/>
        <v>46689.1362709092</v>
      </c>
      <c r="BA60">
        <f t="shared" si="13"/>
        <v>36032.4659720416</v>
      </c>
      <c r="BB60">
        <f t="shared" si="14"/>
        <v>9685059.71359022</v>
      </c>
      <c r="BC60">
        <f t="shared" si="2"/>
        <v>121063.246419878</v>
      </c>
      <c r="BD60">
        <f t="shared" si="3"/>
        <v>0.0125</v>
      </c>
      <c r="BG60">
        <f t="shared" si="10"/>
        <v>-104062.565270667</v>
      </c>
      <c r="BH60">
        <f t="shared" si="11"/>
        <v>8761289.71732707</v>
      </c>
      <c r="BI60">
        <f t="shared" si="4"/>
        <v>109516.121466588</v>
      </c>
      <c r="BJ60">
        <f t="shared" si="5"/>
        <v>0.0125</v>
      </c>
    </row>
    <row r="61" spans="1:62">
      <c r="A61" s="4">
        <v>45723</v>
      </c>
      <c r="B61" s="7" t="s">
        <v>1008</v>
      </c>
      <c r="C61">
        <v>0.63095</v>
      </c>
      <c r="D61">
        <v>630.95</v>
      </c>
      <c r="E61">
        <v>0.85</v>
      </c>
      <c r="F61" s="7" t="s">
        <v>1009</v>
      </c>
      <c r="G61" s="7" t="s">
        <v>1010</v>
      </c>
      <c r="H61">
        <v>536.3075</v>
      </c>
      <c r="I61" s="7" t="s">
        <v>1011</v>
      </c>
      <c r="J61" s="7" t="s">
        <v>1012</v>
      </c>
      <c r="K61" s="7" t="s">
        <v>1013</v>
      </c>
      <c r="L61" s="9" t="s">
        <v>1014</v>
      </c>
      <c r="M61" s="7" t="s">
        <v>1015</v>
      </c>
      <c r="N61" s="7" t="s">
        <v>1016</v>
      </c>
      <c r="O61">
        <v>-9060.56129283553</v>
      </c>
      <c r="P61">
        <v>-11.4444702748831</v>
      </c>
      <c r="Q61">
        <v>1.6439</v>
      </c>
      <c r="R61" s="7" t="s">
        <v>1017</v>
      </c>
      <c r="S61">
        <v>0.68</v>
      </c>
      <c r="T61" s="7" t="s">
        <v>1009</v>
      </c>
      <c r="U61" s="7" t="s">
        <v>1018</v>
      </c>
      <c r="V61">
        <v>1117.852</v>
      </c>
      <c r="W61">
        <v>1264.0670416</v>
      </c>
      <c r="X61" s="7" t="s">
        <v>1019</v>
      </c>
      <c r="Y61">
        <v>-174.036518612129</v>
      </c>
      <c r="Z61">
        <v>-39.0435380406307</v>
      </c>
      <c r="AA61" s="8" t="s">
        <v>1020</v>
      </c>
      <c r="AB61">
        <v>-194.224754771136</v>
      </c>
      <c r="AC61">
        <v>-293.584908416845</v>
      </c>
      <c r="AD61" s="7" t="s">
        <v>1021</v>
      </c>
      <c r="AE61" s="7" t="s">
        <v>1022</v>
      </c>
      <c r="AF61" s="7" t="s">
        <v>1023</v>
      </c>
      <c r="AK61">
        <v>-39.0435380406307</v>
      </c>
      <c r="AL61" s="9" t="s">
        <v>1014</v>
      </c>
      <c r="AM61">
        <v>66.685</v>
      </c>
      <c r="AN61">
        <f t="shared" si="15"/>
        <v>67.35185</v>
      </c>
      <c r="AO61">
        <f t="shared" si="16"/>
        <v>-48007.2207901304</v>
      </c>
      <c r="AP61">
        <f t="shared" si="17"/>
        <v>53545.962048958</v>
      </c>
      <c r="AQ61">
        <f t="shared" si="18"/>
        <v>5538.74125882762</v>
      </c>
      <c r="AR61">
        <f t="shared" si="19"/>
        <v>8660150.14829903</v>
      </c>
      <c r="AS61">
        <f t="shared" si="7"/>
        <v>108251.876853738</v>
      </c>
      <c r="AT61">
        <f t="shared" si="8"/>
        <v>0.0125</v>
      </c>
      <c r="AW61">
        <v>160.22</v>
      </c>
      <c r="AX61">
        <f t="shared" si="1"/>
        <v>161.8222</v>
      </c>
      <c r="AY61">
        <f t="shared" si="9"/>
        <v>-159194.838171156</v>
      </c>
      <c r="AZ61">
        <f t="shared" si="12"/>
        <v>-57046.3749642469</v>
      </c>
      <c r="BA61">
        <f t="shared" si="13"/>
        <v>-216241.213135403</v>
      </c>
      <c r="BB61">
        <f t="shared" si="14"/>
        <v>9468818.50045481</v>
      </c>
      <c r="BC61">
        <f t="shared" si="2"/>
        <v>118360.231255685</v>
      </c>
      <c r="BD61">
        <f t="shared" si="3"/>
        <v>0.0125</v>
      </c>
      <c r="BG61">
        <f t="shared" si="10"/>
        <v>-207202.058961286</v>
      </c>
      <c r="BH61">
        <f t="shared" si="11"/>
        <v>8554087.65836579</v>
      </c>
      <c r="BI61">
        <f t="shared" si="4"/>
        <v>106926.095729572</v>
      </c>
      <c r="BJ61">
        <f t="shared" si="5"/>
        <v>0.0125</v>
      </c>
    </row>
    <row r="62" spans="1:62">
      <c r="A62" s="4">
        <v>45726</v>
      </c>
      <c r="B62" s="7" t="s">
        <v>1024</v>
      </c>
      <c r="C62">
        <v>0.62695</v>
      </c>
      <c r="D62">
        <v>626.95</v>
      </c>
      <c r="E62">
        <v>0.78</v>
      </c>
      <c r="F62" s="7" t="s">
        <v>1025</v>
      </c>
      <c r="G62" s="7" t="s">
        <v>1026</v>
      </c>
      <c r="H62" s="7" t="s">
        <v>1027</v>
      </c>
      <c r="I62" s="7" t="s">
        <v>1028</v>
      </c>
      <c r="J62" s="7" t="s">
        <v>1029</v>
      </c>
      <c r="K62" s="7" t="s">
        <v>1030</v>
      </c>
      <c r="L62" s="9" t="s">
        <v>1031</v>
      </c>
      <c r="M62" s="7" t="s">
        <v>1032</v>
      </c>
      <c r="N62" s="7" t="s">
        <v>1033</v>
      </c>
      <c r="O62">
        <v>-16361.5448823197</v>
      </c>
      <c r="P62" s="7" t="s">
        <v>1034</v>
      </c>
      <c r="Q62">
        <v>1.6453</v>
      </c>
      <c r="R62">
        <v>1645.3</v>
      </c>
      <c r="S62">
        <v>0.69</v>
      </c>
      <c r="T62" s="7" t="s">
        <v>1025</v>
      </c>
      <c r="U62" s="7" t="s">
        <v>1035</v>
      </c>
      <c r="V62" s="7" t="s">
        <v>1036</v>
      </c>
      <c r="W62" s="7" t="s">
        <v>1037</v>
      </c>
      <c r="X62" s="7" t="s">
        <v>1038</v>
      </c>
      <c r="Y62" s="7" t="s">
        <v>1039</v>
      </c>
      <c r="Z62" s="7" t="s">
        <v>1015</v>
      </c>
      <c r="AA62" s="8" t="s">
        <v>1040</v>
      </c>
      <c r="AB62" s="7" t="s">
        <v>1041</v>
      </c>
      <c r="AC62">
        <v>-194.224754771136</v>
      </c>
      <c r="AD62" s="7" t="s">
        <v>1042</v>
      </c>
      <c r="AE62" s="7" t="s">
        <v>1043</v>
      </c>
      <c r="AF62" s="7" t="s">
        <v>1044</v>
      </c>
      <c r="AK62" s="7" t="s">
        <v>1015</v>
      </c>
      <c r="AL62" s="9" t="s">
        <v>1031</v>
      </c>
      <c r="AM62">
        <v>66.69</v>
      </c>
      <c r="AN62">
        <f t="shared" si="15"/>
        <v>67.3569</v>
      </c>
      <c r="AO62">
        <f t="shared" si="16"/>
        <v>-5306.10088253113</v>
      </c>
      <c r="AP62">
        <f t="shared" si="17"/>
        <v>-195.217690202976</v>
      </c>
      <c r="AQ62">
        <f t="shared" si="18"/>
        <v>-5501.31857273411</v>
      </c>
      <c r="AR62">
        <f t="shared" si="19"/>
        <v>8654648.8297263</v>
      </c>
      <c r="AS62">
        <f t="shared" si="7"/>
        <v>108183.110371579</v>
      </c>
      <c r="AT62">
        <f t="shared" si="8"/>
        <v>0.0125</v>
      </c>
      <c r="AW62">
        <v>160.26</v>
      </c>
      <c r="AX62">
        <f t="shared" si="1"/>
        <v>161.8626</v>
      </c>
      <c r="AY62">
        <f t="shared" si="9"/>
        <v>-362003.816489547</v>
      </c>
      <c r="AZ62">
        <f t="shared" si="12"/>
        <v>-11743.3963366715</v>
      </c>
      <c r="BA62">
        <f t="shared" si="13"/>
        <v>-373747.212826219</v>
      </c>
      <c r="BB62">
        <f t="shared" si="14"/>
        <v>9095071.28762859</v>
      </c>
      <c r="BC62">
        <f t="shared" si="2"/>
        <v>113688.391095357</v>
      </c>
      <c r="BD62">
        <f t="shared" si="3"/>
        <v>0.0125</v>
      </c>
      <c r="BG62">
        <f t="shared" si="10"/>
        <v>-367309.917372079</v>
      </c>
      <c r="BH62">
        <f t="shared" si="11"/>
        <v>8186777.74099371</v>
      </c>
      <c r="BI62">
        <f t="shared" si="4"/>
        <v>102334.721762421</v>
      </c>
      <c r="BJ62">
        <f t="shared" si="5"/>
        <v>0.0125</v>
      </c>
    </row>
    <row r="63" spans="1:62">
      <c r="A63" s="4">
        <v>45727</v>
      </c>
      <c r="B63">
        <v>-0.131971205035285</v>
      </c>
      <c r="C63">
        <v>0.6307</v>
      </c>
      <c r="D63">
        <v>630.7</v>
      </c>
      <c r="E63">
        <v>0.76</v>
      </c>
      <c r="F63" s="7" t="s">
        <v>1045</v>
      </c>
      <c r="G63" s="7" t="s">
        <v>1046</v>
      </c>
      <c r="H63" s="7" t="s">
        <v>1047</v>
      </c>
      <c r="I63">
        <v>310.846802</v>
      </c>
      <c r="J63" s="7" t="s">
        <v>1048</v>
      </c>
      <c r="K63">
        <v>-8.47174528632983</v>
      </c>
      <c r="L63" s="1">
        <v>-47.2068406988289</v>
      </c>
      <c r="M63">
        <v>-6.30297849302939</v>
      </c>
      <c r="N63" s="7" t="s">
        <v>1049</v>
      </c>
      <c r="O63">
        <v>-2363.61693488602</v>
      </c>
      <c r="P63" s="7" t="s">
        <v>1050</v>
      </c>
      <c r="Q63">
        <v>1.6454</v>
      </c>
      <c r="R63" s="7" t="s">
        <v>1001</v>
      </c>
      <c r="S63">
        <v>0.7</v>
      </c>
      <c r="T63" s="7" t="s">
        <v>1045</v>
      </c>
      <c r="U63" s="7" t="s">
        <v>1051</v>
      </c>
      <c r="V63" s="7" t="s">
        <v>1052</v>
      </c>
      <c r="W63" s="7" t="s">
        <v>1053</v>
      </c>
      <c r="X63" s="7" t="s">
        <v>1054</v>
      </c>
      <c r="Y63" s="7" t="s">
        <v>1055</v>
      </c>
      <c r="Z63" s="7" t="s">
        <v>1032</v>
      </c>
      <c r="AA63" s="8" t="s">
        <v>1056</v>
      </c>
      <c r="AB63" s="7" t="s">
        <v>1057</v>
      </c>
      <c r="AC63" s="7" t="s">
        <v>1041</v>
      </c>
      <c r="AD63" s="7" t="s">
        <v>1058</v>
      </c>
      <c r="AE63" s="7" t="s">
        <v>1059</v>
      </c>
      <c r="AF63" s="7" t="s">
        <v>1060</v>
      </c>
      <c r="AK63" s="7" t="s">
        <v>1032</v>
      </c>
      <c r="AL63" s="1">
        <v>-47.2068406988289</v>
      </c>
      <c r="AM63">
        <v>67.225</v>
      </c>
      <c r="AN63">
        <f t="shared" si="15"/>
        <v>66.55275</v>
      </c>
      <c r="AO63">
        <f t="shared" si="16"/>
        <v>-31734.798659788</v>
      </c>
      <c r="AP63">
        <f t="shared" si="17"/>
        <v>17626.9101515164</v>
      </c>
      <c r="AQ63">
        <f t="shared" si="18"/>
        <v>-14107.8885082716</v>
      </c>
      <c r="AR63">
        <f t="shared" si="19"/>
        <v>8640540.94121803</v>
      </c>
      <c r="AS63">
        <f t="shared" si="7"/>
        <v>108006.761765225</v>
      </c>
      <c r="AT63">
        <f t="shared" si="8"/>
        <v>0.0125</v>
      </c>
      <c r="AW63">
        <v>160.6</v>
      </c>
      <c r="AX63">
        <f t="shared" si="1"/>
        <v>162.206</v>
      </c>
      <c r="AY63">
        <f t="shared" si="9"/>
        <v>-35424.8173046807</v>
      </c>
      <c r="AZ63">
        <f t="shared" si="12"/>
        <v>-66036.4166221869</v>
      </c>
      <c r="BA63">
        <f t="shared" si="13"/>
        <v>-101461.233926868</v>
      </c>
      <c r="BB63">
        <f t="shared" si="14"/>
        <v>8993610.05370173</v>
      </c>
      <c r="BC63">
        <f t="shared" si="2"/>
        <v>112420.125671272</v>
      </c>
      <c r="BD63">
        <f t="shared" si="3"/>
        <v>0.0125</v>
      </c>
      <c r="BG63">
        <f t="shared" si="10"/>
        <v>-67159.6159644686</v>
      </c>
      <c r="BH63">
        <f t="shared" si="11"/>
        <v>8119618.12502924</v>
      </c>
      <c r="BI63">
        <f t="shared" si="4"/>
        <v>101495.226562865</v>
      </c>
      <c r="BJ63">
        <f t="shared" si="5"/>
        <v>0.0125</v>
      </c>
    </row>
    <row r="64" spans="1:62">
      <c r="A64" s="4">
        <v>45728</v>
      </c>
      <c r="B64" s="7" t="s">
        <v>1061</v>
      </c>
      <c r="C64">
        <v>0.63195</v>
      </c>
      <c r="D64">
        <v>631.95</v>
      </c>
      <c r="E64">
        <v>0.76</v>
      </c>
      <c r="F64" s="7" t="s">
        <v>1062</v>
      </c>
      <c r="G64" s="7" t="s">
        <v>1063</v>
      </c>
      <c r="H64" s="7" t="s">
        <v>1064</v>
      </c>
      <c r="I64">
        <v>311.462877</v>
      </c>
      <c r="J64" s="7" t="s">
        <v>1065</v>
      </c>
      <c r="K64" s="7" t="s">
        <v>1066</v>
      </c>
      <c r="L64" s="9" t="s">
        <v>1067</v>
      </c>
      <c r="M64" s="7" t="s">
        <v>1068</v>
      </c>
      <c r="N64" s="7" t="s">
        <v>1069</v>
      </c>
      <c r="O64" s="7" t="s">
        <v>1070</v>
      </c>
      <c r="P64" s="7" t="s">
        <v>1071</v>
      </c>
      <c r="Q64">
        <v>1.6447</v>
      </c>
      <c r="R64">
        <v>1644.7</v>
      </c>
      <c r="S64">
        <v>0.71</v>
      </c>
      <c r="T64" s="7" t="s">
        <v>1062</v>
      </c>
      <c r="U64" s="7" t="s">
        <v>1072</v>
      </c>
      <c r="V64">
        <v>1167.737</v>
      </c>
      <c r="W64" s="7" t="s">
        <v>1073</v>
      </c>
      <c r="X64" s="7" t="s">
        <v>1074</v>
      </c>
      <c r="Y64" s="7" t="s">
        <v>1075</v>
      </c>
      <c r="Z64">
        <v>-6.30297849302939</v>
      </c>
      <c r="AA64" s="8" t="s">
        <v>1076</v>
      </c>
      <c r="AB64" s="7" t="s">
        <v>1077</v>
      </c>
      <c r="AC64" s="7" t="s">
        <v>1057</v>
      </c>
      <c r="AD64" s="7" t="s">
        <v>1078</v>
      </c>
      <c r="AE64">
        <v>-4497.41657188448</v>
      </c>
      <c r="AF64" s="7" t="s">
        <v>1079</v>
      </c>
      <c r="AK64">
        <v>-6.30297849302939</v>
      </c>
      <c r="AL64" s="9" t="s">
        <v>1067</v>
      </c>
      <c r="AM64">
        <v>66.995</v>
      </c>
      <c r="AN64">
        <f t="shared" si="15"/>
        <v>67.66495</v>
      </c>
      <c r="AO64">
        <f t="shared" si="16"/>
        <v>-16241.1696502592</v>
      </c>
      <c r="AP64">
        <f t="shared" si="17"/>
        <v>-9407.88830733346</v>
      </c>
      <c r="AQ64">
        <f t="shared" si="18"/>
        <v>-25649.0579575926</v>
      </c>
      <c r="AR64">
        <f t="shared" si="19"/>
        <v>8614891.88326043</v>
      </c>
      <c r="AS64">
        <f t="shared" si="7"/>
        <v>107686.148540755</v>
      </c>
      <c r="AT64">
        <f t="shared" si="8"/>
        <v>0.0125</v>
      </c>
      <c r="AW64">
        <v>161.15</v>
      </c>
      <c r="AX64">
        <f t="shared" si="1"/>
        <v>162.7615</v>
      </c>
      <c r="AY64">
        <f t="shared" si="9"/>
        <v>-16969.8156548244</v>
      </c>
      <c r="AZ64">
        <f t="shared" si="12"/>
        <v>17413.3117879256</v>
      </c>
      <c r="BA64">
        <f t="shared" si="13"/>
        <v>443.496133101165</v>
      </c>
      <c r="BB64">
        <f t="shared" si="14"/>
        <v>8994053.54983483</v>
      </c>
      <c r="BC64">
        <f t="shared" si="2"/>
        <v>112425.669372935</v>
      </c>
      <c r="BD64">
        <f t="shared" si="3"/>
        <v>0.0125</v>
      </c>
      <c r="BG64">
        <f t="shared" si="10"/>
        <v>-33210.9853050836</v>
      </c>
      <c r="BH64">
        <f t="shared" si="11"/>
        <v>8086407.13972415</v>
      </c>
      <c r="BI64">
        <f t="shared" si="4"/>
        <v>101080.089246552</v>
      </c>
      <c r="BJ64">
        <f t="shared" si="5"/>
        <v>0.0125</v>
      </c>
    </row>
    <row r="65" spans="1:62">
      <c r="A65" s="4">
        <v>45729</v>
      </c>
      <c r="B65" s="7" t="s">
        <v>1080</v>
      </c>
      <c r="C65">
        <v>0.6291</v>
      </c>
      <c r="D65">
        <v>629.1</v>
      </c>
      <c r="E65">
        <v>0.76</v>
      </c>
      <c r="F65" s="7" t="s">
        <v>1081</v>
      </c>
      <c r="G65" s="7" t="s">
        <v>1082</v>
      </c>
      <c r="H65" s="7" t="s">
        <v>1083</v>
      </c>
      <c r="I65">
        <v>310.058226</v>
      </c>
      <c r="J65" s="7" t="s">
        <v>1084</v>
      </c>
      <c r="K65" s="7" t="s">
        <v>1085</v>
      </c>
      <c r="L65" s="9" t="s">
        <v>1086</v>
      </c>
      <c r="M65" s="7" t="s">
        <v>1087</v>
      </c>
      <c r="N65" s="7" t="s">
        <v>1088</v>
      </c>
      <c r="O65">
        <v>-13601.7368175348</v>
      </c>
      <c r="P65" s="7" t="s">
        <v>1089</v>
      </c>
      <c r="Q65">
        <v>1.6413</v>
      </c>
      <c r="R65">
        <v>1641.3</v>
      </c>
      <c r="S65">
        <v>0.72</v>
      </c>
      <c r="T65" s="7" t="s">
        <v>1081</v>
      </c>
      <c r="U65" s="7" t="s">
        <v>1090</v>
      </c>
      <c r="V65" s="7" t="s">
        <v>1091</v>
      </c>
      <c r="W65" s="7" t="s">
        <v>1092</v>
      </c>
      <c r="X65" s="7" t="s">
        <v>1093</v>
      </c>
      <c r="Y65" s="7" t="s">
        <v>1094</v>
      </c>
      <c r="Z65" s="7" t="s">
        <v>1068</v>
      </c>
      <c r="AA65" s="8" t="s">
        <v>1095</v>
      </c>
      <c r="AB65" s="7" t="s">
        <v>1096</v>
      </c>
      <c r="AC65" s="7" t="s">
        <v>1077</v>
      </c>
      <c r="AD65" s="7" t="s">
        <v>1097</v>
      </c>
      <c r="AE65">
        <v>-21917.7224955057</v>
      </c>
      <c r="AF65" s="7" t="s">
        <v>1098</v>
      </c>
      <c r="AK65" s="7" t="s">
        <v>1068</v>
      </c>
      <c r="AL65" s="9" t="s">
        <v>1086</v>
      </c>
      <c r="AM65">
        <v>67.28</v>
      </c>
      <c r="AN65">
        <f t="shared" si="15"/>
        <v>67.9528</v>
      </c>
      <c r="AO65">
        <f t="shared" si="16"/>
        <v>-20040.0275192837</v>
      </c>
      <c r="AP65">
        <f t="shared" si="17"/>
        <v>-1796.34887051335</v>
      </c>
      <c r="AQ65">
        <f t="shared" si="18"/>
        <v>-21836.376389797</v>
      </c>
      <c r="AR65">
        <f t="shared" si="19"/>
        <v>8593055.50687063</v>
      </c>
      <c r="AS65">
        <f t="shared" si="7"/>
        <v>107413.193835883</v>
      </c>
      <c r="AT65">
        <f t="shared" si="8"/>
        <v>0.0125</v>
      </c>
      <c r="AW65">
        <v>161.44</v>
      </c>
      <c r="AX65">
        <f t="shared" si="1"/>
        <v>163.0544</v>
      </c>
      <c r="AY65">
        <f t="shared" si="9"/>
        <v>-347.22761053531</v>
      </c>
      <c r="AZ65">
        <f t="shared" si="12"/>
        <v>15578.3246826724</v>
      </c>
      <c r="BA65">
        <f t="shared" si="13"/>
        <v>15231.0970721371</v>
      </c>
      <c r="BB65">
        <f t="shared" si="14"/>
        <v>9009284.64690696</v>
      </c>
      <c r="BC65">
        <f t="shared" si="2"/>
        <v>112616.058086337</v>
      </c>
      <c r="BD65">
        <f t="shared" si="3"/>
        <v>0.0125</v>
      </c>
      <c r="BG65">
        <f t="shared" si="10"/>
        <v>-20387.255129819</v>
      </c>
      <c r="BH65">
        <f t="shared" si="11"/>
        <v>8066019.88459434</v>
      </c>
      <c r="BI65">
        <f t="shared" si="4"/>
        <v>100825.248557429</v>
      </c>
      <c r="BJ65">
        <f t="shared" si="5"/>
        <v>0.0125</v>
      </c>
    </row>
    <row r="66" spans="1:62">
      <c r="A66" s="4">
        <v>45730</v>
      </c>
      <c r="B66" s="7" t="s">
        <v>1099</v>
      </c>
      <c r="C66">
        <v>0.63285</v>
      </c>
      <c r="D66">
        <v>632.85</v>
      </c>
      <c r="E66">
        <v>0.75</v>
      </c>
      <c r="F66" s="7" t="s">
        <v>1100</v>
      </c>
      <c r="G66" s="7" t="s">
        <v>1101</v>
      </c>
      <c r="H66" s="7" t="s">
        <v>1102</v>
      </c>
      <c r="I66">
        <v>307.80241875</v>
      </c>
      <c r="J66" s="7" t="s">
        <v>1103</v>
      </c>
      <c r="K66" s="7" t="s">
        <v>1104</v>
      </c>
      <c r="L66" s="1">
        <v>-17.6307172186263</v>
      </c>
      <c r="M66" s="7" t="s">
        <v>1105</v>
      </c>
      <c r="N66" s="7" t="s">
        <v>1106</v>
      </c>
      <c r="O66" s="7" t="s">
        <v>1107</v>
      </c>
      <c r="P66" s="7" t="s">
        <v>1108</v>
      </c>
      <c r="Q66">
        <v>1.6414</v>
      </c>
      <c r="R66" s="7" t="s">
        <v>1109</v>
      </c>
      <c r="S66">
        <v>0.72</v>
      </c>
      <c r="T66" s="7" t="s">
        <v>1100</v>
      </c>
      <c r="U66" s="7" t="s">
        <v>1110</v>
      </c>
      <c r="V66" s="7" t="s">
        <v>1111</v>
      </c>
      <c r="W66" s="7" t="s">
        <v>1112</v>
      </c>
      <c r="X66" s="7" t="s">
        <v>1113</v>
      </c>
      <c r="Y66" s="7" t="s">
        <v>1114</v>
      </c>
      <c r="Z66" s="7" t="s">
        <v>1087</v>
      </c>
      <c r="AA66" s="2">
        <v>-22.632484317119</v>
      </c>
      <c r="AB66" s="7" t="s">
        <v>1115</v>
      </c>
      <c r="AC66" s="7" t="s">
        <v>1096</v>
      </c>
      <c r="AD66" s="7" t="s">
        <v>1116</v>
      </c>
      <c r="AE66" s="7" t="s">
        <v>1117</v>
      </c>
      <c r="AF66" s="7" t="s">
        <v>1118</v>
      </c>
      <c r="AK66" s="7" t="s">
        <v>1087</v>
      </c>
      <c r="AL66" s="1">
        <v>-17.6307172186263</v>
      </c>
      <c r="AM66">
        <v>67.01</v>
      </c>
      <c r="AN66">
        <f t="shared" si="15"/>
        <v>66.3399</v>
      </c>
      <c r="AO66">
        <f t="shared" si="16"/>
        <v>-11814.3436082016</v>
      </c>
      <c r="AP66">
        <f t="shared" si="17"/>
        <v>-4843.63323589904</v>
      </c>
      <c r="AQ66">
        <f t="shared" si="18"/>
        <v>-16657.9768441006</v>
      </c>
      <c r="AR66">
        <f t="shared" si="19"/>
        <v>8576397.53002653</v>
      </c>
      <c r="AS66">
        <f t="shared" si="7"/>
        <v>107204.969125332</v>
      </c>
      <c r="AT66">
        <f t="shared" si="8"/>
        <v>0.0125</v>
      </c>
      <c r="AW66">
        <v>161.42</v>
      </c>
      <c r="AX66">
        <f t="shared" ref="AX66:AX129" si="20">IF(V66&gt;0,AW66*1.01,IF(V66&lt;0,AW66*0.99,0))</f>
        <v>163.0342</v>
      </c>
      <c r="AY66">
        <f t="shared" si="9"/>
        <v>36533.3561846937</v>
      </c>
      <c r="AZ66">
        <f t="shared" si="12"/>
        <v>-1284.97616339635</v>
      </c>
      <c r="BA66">
        <f t="shared" si="13"/>
        <v>35248.3800212974</v>
      </c>
      <c r="BB66">
        <f t="shared" si="14"/>
        <v>9044533.02692826</v>
      </c>
      <c r="BC66">
        <f t="shared" ref="BC66:BC129" si="21">BB66*0.2/16</f>
        <v>113056.662836603</v>
      </c>
      <c r="BD66">
        <f t="shared" ref="BD66:BD129" si="22">BC66/BB66</f>
        <v>0.0125</v>
      </c>
      <c r="BG66">
        <f t="shared" si="10"/>
        <v>24719.0125764922</v>
      </c>
      <c r="BH66">
        <f t="shared" si="11"/>
        <v>8090738.89717083</v>
      </c>
      <c r="BI66">
        <f t="shared" ref="BI66:BI129" si="23">BH66*0.2/16</f>
        <v>101134.236214635</v>
      </c>
      <c r="BJ66">
        <f t="shared" ref="BJ66:BJ129" si="24">BI66/BH66</f>
        <v>0.0125</v>
      </c>
    </row>
    <row r="67" spans="1:62">
      <c r="A67" s="4">
        <v>45733</v>
      </c>
      <c r="B67" s="7" t="s">
        <v>1119</v>
      </c>
      <c r="C67">
        <v>0.63955</v>
      </c>
      <c r="D67">
        <v>639.55</v>
      </c>
      <c r="E67">
        <v>0.78</v>
      </c>
      <c r="F67" s="7" t="s">
        <v>1120</v>
      </c>
      <c r="G67" s="7" t="s">
        <v>1121</v>
      </c>
      <c r="H67">
        <v>498.849</v>
      </c>
      <c r="I67" s="7" t="s">
        <v>1122</v>
      </c>
      <c r="J67" s="7" t="s">
        <v>1123</v>
      </c>
      <c r="K67" s="7" t="s">
        <v>1124</v>
      </c>
      <c r="L67" s="9" t="s">
        <v>1125</v>
      </c>
      <c r="M67" s="7" t="s">
        <v>1126</v>
      </c>
      <c r="N67" s="7" t="s">
        <v>1127</v>
      </c>
      <c r="O67" s="7" t="s">
        <v>1128</v>
      </c>
      <c r="P67" s="7" t="s">
        <v>1129</v>
      </c>
      <c r="Q67">
        <v>1.6427</v>
      </c>
      <c r="R67">
        <v>1642.7</v>
      </c>
      <c r="S67">
        <v>0.72</v>
      </c>
      <c r="T67" s="7" t="s">
        <v>1120</v>
      </c>
      <c r="U67" s="7" t="s">
        <v>1130</v>
      </c>
      <c r="V67">
        <v>1182.744</v>
      </c>
      <c r="W67">
        <v>1337.4469152</v>
      </c>
      <c r="X67" s="7" t="s">
        <v>1131</v>
      </c>
      <c r="Y67" s="7" t="s">
        <v>1132</v>
      </c>
      <c r="Z67" s="7" t="s">
        <v>1105</v>
      </c>
      <c r="AA67" s="2">
        <v>-5.68170357569982</v>
      </c>
      <c r="AB67" s="7" t="s">
        <v>1133</v>
      </c>
      <c r="AC67" s="7" t="s">
        <v>1115</v>
      </c>
      <c r="AD67" s="7" t="s">
        <v>1134</v>
      </c>
      <c r="AE67" s="7" t="s">
        <v>1135</v>
      </c>
      <c r="AF67" s="7" t="s">
        <v>1136</v>
      </c>
      <c r="AK67" s="7" t="s">
        <v>1105</v>
      </c>
      <c r="AL67" s="9" t="s">
        <v>1125</v>
      </c>
      <c r="AM67">
        <v>68.04</v>
      </c>
      <c r="AN67">
        <f t="shared" ref="AN67:AN130" si="25">IF(L67&gt;0,AM67*1.01,IF(L67&lt;0,AM67*0.99,0))</f>
        <v>68.7204</v>
      </c>
      <c r="AO67">
        <f t="shared" si="16"/>
        <v>-27859.6303429722</v>
      </c>
      <c r="AP67">
        <f t="shared" si="17"/>
        <v>49157.1541124937</v>
      </c>
      <c r="AQ67">
        <f t="shared" si="18"/>
        <v>21297.5237695215</v>
      </c>
      <c r="AR67">
        <f t="shared" si="19"/>
        <v>8597695.05379606</v>
      </c>
      <c r="AS67">
        <f t="shared" ref="AS67:AS130" si="26">AR67*0.2/16</f>
        <v>107471.188172451</v>
      </c>
      <c r="AT67">
        <f t="shared" ref="AT67:AT130" si="27">AS67/AR67</f>
        <v>0.0125</v>
      </c>
      <c r="AW67">
        <v>162.09</v>
      </c>
      <c r="AX67">
        <f t="shared" si="20"/>
        <v>163.7109</v>
      </c>
      <c r="AY67">
        <f t="shared" ref="AY67:AY130" si="28">IF(AX67&lt;&gt;0,(AW67-AX67)*$BE$2/$BF$2*AA67,0)</f>
        <v>9209.47332585187</v>
      </c>
      <c r="AZ67">
        <f t="shared" si="12"/>
        <v>43190.8060940854</v>
      </c>
      <c r="BA67">
        <f t="shared" si="13"/>
        <v>52400.2794199373</v>
      </c>
      <c r="BB67">
        <f t="shared" ref="BB67:BB130" si="29">BA67+BB66</f>
        <v>9096933.3063482</v>
      </c>
      <c r="BC67">
        <f t="shared" si="21"/>
        <v>113711.666329353</v>
      </c>
      <c r="BD67">
        <f t="shared" si="22"/>
        <v>0.0125</v>
      </c>
      <c r="BG67">
        <f t="shared" ref="BG67:BG130" si="30">AY67+AO67</f>
        <v>-18650.1570171204</v>
      </c>
      <c r="BH67">
        <f t="shared" ref="BH67:BH130" si="31">BG67+BH66</f>
        <v>8072088.74015371</v>
      </c>
      <c r="BI67">
        <f t="shared" si="23"/>
        <v>100901.109251921</v>
      </c>
      <c r="BJ67">
        <f t="shared" si="24"/>
        <v>0.0125</v>
      </c>
    </row>
    <row r="68" spans="1:62">
      <c r="A68" s="4">
        <v>45734</v>
      </c>
      <c r="B68" s="7" t="s">
        <v>1137</v>
      </c>
      <c r="C68">
        <v>0.6365</v>
      </c>
      <c r="D68">
        <v>636.5</v>
      </c>
      <c r="E68">
        <v>0.8</v>
      </c>
      <c r="F68" s="7" t="s">
        <v>1138</v>
      </c>
      <c r="G68" s="7" t="s">
        <v>1139</v>
      </c>
      <c r="H68" s="7" t="s">
        <v>1140</v>
      </c>
      <c r="I68">
        <v>330.2162</v>
      </c>
      <c r="J68" s="7" t="s">
        <v>1141</v>
      </c>
      <c r="K68" s="7" t="s">
        <v>1142</v>
      </c>
      <c r="L68" s="9" t="s">
        <v>1143</v>
      </c>
      <c r="M68" s="7" t="s">
        <v>1144</v>
      </c>
      <c r="N68" s="7" t="s">
        <v>1145</v>
      </c>
      <c r="O68">
        <v>-139953.013815372</v>
      </c>
      <c r="P68" s="7" t="s">
        <v>1146</v>
      </c>
      <c r="Q68" s="7" t="s">
        <v>286</v>
      </c>
      <c r="R68" s="7" t="s">
        <v>287</v>
      </c>
      <c r="S68">
        <v>0.72</v>
      </c>
      <c r="T68" s="7" t="s">
        <v>1138</v>
      </c>
      <c r="U68" s="7" t="s">
        <v>1147</v>
      </c>
      <c r="V68">
        <v>1180.512</v>
      </c>
      <c r="W68">
        <v>1334.9229696</v>
      </c>
      <c r="X68" s="7" t="s">
        <v>1148</v>
      </c>
      <c r="Y68" s="7" t="s">
        <v>1149</v>
      </c>
      <c r="Z68" s="7" t="s">
        <v>1126</v>
      </c>
      <c r="AA68" s="8" t="s">
        <v>1150</v>
      </c>
      <c r="AB68" s="7" t="s">
        <v>1151</v>
      </c>
      <c r="AC68" s="7" t="s">
        <v>1133</v>
      </c>
      <c r="AD68" s="7" t="s">
        <v>1152</v>
      </c>
      <c r="AE68">
        <v>-14363.7707434483</v>
      </c>
      <c r="AF68" s="7" t="s">
        <v>1153</v>
      </c>
      <c r="AK68" s="7" t="s">
        <v>1126</v>
      </c>
      <c r="AL68" s="9" t="s">
        <v>1143</v>
      </c>
      <c r="AM68">
        <v>67.6</v>
      </c>
      <c r="AN68">
        <f t="shared" si="25"/>
        <v>68.276</v>
      </c>
      <c r="AO68">
        <f t="shared" ref="AO68:AO131" si="32">IF(AN68&lt;&gt;0,(AM68-AN68)*$AU$2/$AV$2*L68,0)</f>
        <v>-262167.473587746</v>
      </c>
      <c r="AP68">
        <f t="shared" ref="AP68:AP131" si="33">(AM68-AM67)*$AU$2/$AV$2*Z67</f>
        <v>-13241.6570543845</v>
      </c>
      <c r="AQ68">
        <f t="shared" si="18"/>
        <v>-275409.130642131</v>
      </c>
      <c r="AR68">
        <f t="shared" ref="AR68:AR131" si="34">AQ68+AR67</f>
        <v>8322285.92315393</v>
      </c>
      <c r="AS68">
        <f t="shared" si="26"/>
        <v>104028.574039424</v>
      </c>
      <c r="AT68">
        <f t="shared" si="27"/>
        <v>0.0125</v>
      </c>
      <c r="AW68">
        <v>162.53</v>
      </c>
      <c r="AX68">
        <f t="shared" si="20"/>
        <v>164.1553</v>
      </c>
      <c r="AY68">
        <f t="shared" si="28"/>
        <v>-16553.7496302821</v>
      </c>
      <c r="AZ68">
        <f t="shared" ref="AZ68:AZ131" si="35">(AW68-AW67)*$BE$2/$BF$2*AC67</f>
        <v>18405.8183652393</v>
      </c>
      <c r="BA68">
        <f t="shared" ref="BA68:BA131" si="36">AY68+AZ68</f>
        <v>1852.06873495724</v>
      </c>
      <c r="BB68">
        <f t="shared" si="29"/>
        <v>9098785.37508316</v>
      </c>
      <c r="BC68">
        <f t="shared" si="21"/>
        <v>113734.817188539</v>
      </c>
      <c r="BD68">
        <f t="shared" si="22"/>
        <v>0.0125</v>
      </c>
      <c r="BG68">
        <f t="shared" si="30"/>
        <v>-278721.223218028</v>
      </c>
      <c r="BH68">
        <f t="shared" si="31"/>
        <v>7793367.51693568</v>
      </c>
      <c r="BI68">
        <f t="shared" si="23"/>
        <v>97417.093961696</v>
      </c>
      <c r="BJ68">
        <f t="shared" si="24"/>
        <v>0.0125</v>
      </c>
    </row>
    <row r="69" spans="1:62">
      <c r="A69" s="4">
        <v>45735</v>
      </c>
      <c r="B69" s="7" t="s">
        <v>1154</v>
      </c>
      <c r="C69">
        <v>0.63625</v>
      </c>
      <c r="D69">
        <v>636.25</v>
      </c>
      <c r="E69">
        <v>0.81</v>
      </c>
      <c r="F69" s="7" t="s">
        <v>1155</v>
      </c>
      <c r="G69" s="7" t="s">
        <v>1156</v>
      </c>
      <c r="H69" s="7" t="s">
        <v>1157</v>
      </c>
      <c r="I69">
        <v>334.21258125</v>
      </c>
      <c r="J69" s="7" t="s">
        <v>1158</v>
      </c>
      <c r="K69" s="7" t="s">
        <v>1159</v>
      </c>
      <c r="L69" s="1">
        <v>-247.923689041286</v>
      </c>
      <c r="M69" s="7" t="s">
        <v>1160</v>
      </c>
      <c r="N69" s="7" t="s">
        <v>1161</v>
      </c>
      <c r="O69">
        <v>-5273.46628342428</v>
      </c>
      <c r="P69" s="7" t="s">
        <v>1162</v>
      </c>
      <c r="Q69">
        <v>1.6425</v>
      </c>
      <c r="R69">
        <v>1642.5</v>
      </c>
      <c r="S69">
        <v>0.72</v>
      </c>
      <c r="T69" s="7" t="s">
        <v>1155</v>
      </c>
      <c r="U69" s="7" t="s">
        <v>1163</v>
      </c>
      <c r="V69">
        <v>1182.6</v>
      </c>
      <c r="W69">
        <v>1337.28408</v>
      </c>
      <c r="X69" s="7" t="s">
        <v>1164</v>
      </c>
      <c r="Y69" s="7" t="s">
        <v>1165</v>
      </c>
      <c r="Z69" s="7" t="s">
        <v>1144</v>
      </c>
      <c r="AA69" s="2">
        <v>-18.3893351523437</v>
      </c>
      <c r="AB69" s="7" t="s">
        <v>1166</v>
      </c>
      <c r="AC69" s="7" t="s">
        <v>1151</v>
      </c>
      <c r="AD69" s="7" t="s">
        <v>1167</v>
      </c>
      <c r="AE69" s="7" t="s">
        <v>1168</v>
      </c>
      <c r="AF69" s="7" t="s">
        <v>1169</v>
      </c>
      <c r="AK69" s="7" t="s">
        <v>1144</v>
      </c>
      <c r="AL69" s="1">
        <v>-247.923689041286</v>
      </c>
      <c r="AM69">
        <v>67.415</v>
      </c>
      <c r="AN69">
        <f t="shared" si="25"/>
        <v>66.74085</v>
      </c>
      <c r="AO69">
        <f t="shared" si="32"/>
        <v>-167137.754967182</v>
      </c>
      <c r="AP69">
        <f t="shared" si="33"/>
        <v>-13142.5172691907</v>
      </c>
      <c r="AQ69">
        <f t="shared" ref="AQ69:AQ132" si="37">AO69+AP69</f>
        <v>-180280.272236373</v>
      </c>
      <c r="AR69">
        <f t="shared" si="34"/>
        <v>8142005.65091755</v>
      </c>
      <c r="AS69">
        <f t="shared" si="26"/>
        <v>101775.070636469</v>
      </c>
      <c r="AT69">
        <f t="shared" si="27"/>
        <v>0.0125</v>
      </c>
      <c r="AW69">
        <v>162.4</v>
      </c>
      <c r="AX69">
        <f t="shared" si="20"/>
        <v>164.024</v>
      </c>
      <c r="AY69">
        <f t="shared" si="28"/>
        <v>29864.2802874061</v>
      </c>
      <c r="AZ69">
        <f t="shared" si="35"/>
        <v>-4699.46123397961</v>
      </c>
      <c r="BA69">
        <f t="shared" si="36"/>
        <v>25164.8190534265</v>
      </c>
      <c r="BB69">
        <f t="shared" si="29"/>
        <v>9123950.19413658</v>
      </c>
      <c r="BC69">
        <f t="shared" si="21"/>
        <v>114049.377426707</v>
      </c>
      <c r="BD69">
        <f t="shared" si="22"/>
        <v>0.0125</v>
      </c>
      <c r="BG69">
        <f t="shared" si="30"/>
        <v>-137273.474679776</v>
      </c>
      <c r="BH69">
        <f t="shared" si="31"/>
        <v>7656094.0422559</v>
      </c>
      <c r="BI69">
        <f t="shared" si="23"/>
        <v>95701.1755281988</v>
      </c>
      <c r="BJ69">
        <f t="shared" si="24"/>
        <v>0.0125</v>
      </c>
    </row>
    <row r="70" spans="1:62">
      <c r="A70" s="4">
        <v>45736</v>
      </c>
      <c r="B70" s="7" t="s">
        <v>1170</v>
      </c>
      <c r="C70">
        <v>0.63055</v>
      </c>
      <c r="D70" s="7" t="s">
        <v>1171</v>
      </c>
      <c r="E70">
        <v>0.82</v>
      </c>
      <c r="F70" s="7" t="s">
        <v>1172</v>
      </c>
      <c r="G70" s="7" t="s">
        <v>1173</v>
      </c>
      <c r="H70">
        <v>517.051</v>
      </c>
      <c r="I70">
        <v>335.3075735</v>
      </c>
      <c r="J70" s="7" t="s">
        <v>1174</v>
      </c>
      <c r="K70" s="7" t="s">
        <v>1175</v>
      </c>
      <c r="L70" s="9" t="s">
        <v>1176</v>
      </c>
      <c r="M70" s="7" t="s">
        <v>1177</v>
      </c>
      <c r="N70" s="7" t="s">
        <v>1178</v>
      </c>
      <c r="O70">
        <v>-132493.151425851</v>
      </c>
      <c r="P70" s="7" t="s">
        <v>1179</v>
      </c>
      <c r="Q70">
        <v>1.6485</v>
      </c>
      <c r="R70">
        <v>1648.5</v>
      </c>
      <c r="S70">
        <v>0.69</v>
      </c>
      <c r="T70" s="7" t="s">
        <v>1172</v>
      </c>
      <c r="U70" s="7" t="s">
        <v>1180</v>
      </c>
      <c r="V70">
        <v>1137.465</v>
      </c>
      <c r="W70">
        <v>1286.245422</v>
      </c>
      <c r="X70" s="7" t="s">
        <v>1181</v>
      </c>
      <c r="Y70" s="7" t="s">
        <v>1182</v>
      </c>
      <c r="Z70" s="7" t="s">
        <v>1160</v>
      </c>
      <c r="AA70" s="8" t="s">
        <v>1183</v>
      </c>
      <c r="AB70" s="7" t="s">
        <v>1184</v>
      </c>
      <c r="AC70" s="7" t="s">
        <v>1166</v>
      </c>
      <c r="AD70" s="7" t="s">
        <v>1185</v>
      </c>
      <c r="AE70" s="7" t="s">
        <v>1186</v>
      </c>
      <c r="AF70" s="7" t="s">
        <v>1187</v>
      </c>
      <c r="AK70" s="7" t="s">
        <v>1160</v>
      </c>
      <c r="AL70" s="9" t="s">
        <v>1176</v>
      </c>
      <c r="AM70">
        <v>66.98</v>
      </c>
      <c r="AN70">
        <f t="shared" si="25"/>
        <v>67.6498</v>
      </c>
      <c r="AO70">
        <f t="shared" si="32"/>
        <v>-14404.3664661289</v>
      </c>
      <c r="AP70">
        <f t="shared" si="33"/>
        <v>-199605.118064548</v>
      </c>
      <c r="AQ70">
        <f t="shared" si="37"/>
        <v>-214009.484530677</v>
      </c>
      <c r="AR70">
        <f t="shared" si="34"/>
        <v>7927996.16638688</v>
      </c>
      <c r="AS70">
        <f t="shared" si="26"/>
        <v>99099.9520798359</v>
      </c>
      <c r="AT70">
        <f t="shared" si="27"/>
        <v>0.0125</v>
      </c>
      <c r="AW70">
        <v>162.39</v>
      </c>
      <c r="AX70">
        <f t="shared" si="20"/>
        <v>164.0139</v>
      </c>
      <c r="AY70">
        <f t="shared" si="28"/>
        <v>-35620.1168285689</v>
      </c>
      <c r="AZ70">
        <f t="shared" si="35"/>
        <v>-463.347443337937</v>
      </c>
      <c r="BA70">
        <f t="shared" si="36"/>
        <v>-36083.4642719069</v>
      </c>
      <c r="BB70">
        <f t="shared" si="29"/>
        <v>9087866.72986468</v>
      </c>
      <c r="BC70">
        <f t="shared" si="21"/>
        <v>113598.334123308</v>
      </c>
      <c r="BD70">
        <f t="shared" si="22"/>
        <v>0.0125</v>
      </c>
      <c r="BG70">
        <f t="shared" si="30"/>
        <v>-50024.4832946979</v>
      </c>
      <c r="BH70">
        <f t="shared" si="31"/>
        <v>7606069.55896121</v>
      </c>
      <c r="BI70">
        <f t="shared" si="23"/>
        <v>95075.8694870151</v>
      </c>
      <c r="BJ70">
        <f t="shared" si="24"/>
        <v>0.0125</v>
      </c>
    </row>
    <row r="71" spans="1:62">
      <c r="A71" s="4">
        <v>45737</v>
      </c>
      <c r="B71" s="7" t="s">
        <v>1188</v>
      </c>
      <c r="C71">
        <v>0.62795</v>
      </c>
      <c r="D71">
        <v>627.95</v>
      </c>
      <c r="E71">
        <v>0.83</v>
      </c>
      <c r="F71" s="7" t="s">
        <v>1189</v>
      </c>
      <c r="G71" s="7" t="s">
        <v>1190</v>
      </c>
      <c r="H71">
        <v>521.1985</v>
      </c>
      <c r="I71">
        <v>337.99722725</v>
      </c>
      <c r="J71" s="7" t="s">
        <v>1191</v>
      </c>
      <c r="K71" s="7" t="s">
        <v>1192</v>
      </c>
      <c r="L71" s="1">
        <v>-91.9519780657813</v>
      </c>
      <c r="M71" s="7" t="s">
        <v>1193</v>
      </c>
      <c r="N71" s="7" t="s">
        <v>1194</v>
      </c>
      <c r="O71">
        <v>-36527.9582831094</v>
      </c>
      <c r="P71" s="7" t="s">
        <v>1195</v>
      </c>
      <c r="Q71" s="7" t="s">
        <v>1196</v>
      </c>
      <c r="R71" s="7" t="s">
        <v>1197</v>
      </c>
      <c r="S71">
        <v>0.67</v>
      </c>
      <c r="T71" s="7" t="s">
        <v>1189</v>
      </c>
      <c r="U71" s="7" t="s">
        <v>1198</v>
      </c>
      <c r="V71" s="7" t="s">
        <v>1199</v>
      </c>
      <c r="W71" s="7" t="s">
        <v>1200</v>
      </c>
      <c r="X71" s="7" t="s">
        <v>1201</v>
      </c>
      <c r="Y71" s="7" t="s">
        <v>1202</v>
      </c>
      <c r="Z71" s="7" t="s">
        <v>1177</v>
      </c>
      <c r="AA71" s="8" t="s">
        <v>1203</v>
      </c>
      <c r="AB71" s="7" t="s">
        <v>1204</v>
      </c>
      <c r="AC71" s="7" t="s">
        <v>1184</v>
      </c>
      <c r="AD71" s="7" t="s">
        <v>1205</v>
      </c>
      <c r="AE71" s="7" t="s">
        <v>1206</v>
      </c>
      <c r="AF71" s="7" t="s">
        <v>1207</v>
      </c>
      <c r="AK71" s="7" t="s">
        <v>1177</v>
      </c>
      <c r="AL71" s="1">
        <v>-91.9519780657813</v>
      </c>
      <c r="AM71">
        <v>66.845</v>
      </c>
      <c r="AN71">
        <f t="shared" si="25"/>
        <v>66.17655</v>
      </c>
      <c r="AO71">
        <f t="shared" si="32"/>
        <v>-61465.2997380722</v>
      </c>
      <c r="AP71">
        <f t="shared" si="33"/>
        <v>-28476.7179304938</v>
      </c>
      <c r="AQ71">
        <f t="shared" si="37"/>
        <v>-89942.017668566</v>
      </c>
      <c r="AR71">
        <f t="shared" si="34"/>
        <v>7838054.14871831</v>
      </c>
      <c r="AS71">
        <f t="shared" si="26"/>
        <v>97975.6768589789</v>
      </c>
      <c r="AT71">
        <f t="shared" si="27"/>
        <v>0.0125</v>
      </c>
      <c r="AW71">
        <v>162.85</v>
      </c>
      <c r="AX71">
        <f t="shared" si="20"/>
        <v>164.4785</v>
      </c>
      <c r="AY71">
        <f t="shared" si="28"/>
        <v>-105864.844007448</v>
      </c>
      <c r="AZ71">
        <f t="shared" si="35"/>
        <v>12854.888223426</v>
      </c>
      <c r="BA71">
        <f t="shared" si="36"/>
        <v>-93009.9557840218</v>
      </c>
      <c r="BB71">
        <f t="shared" si="29"/>
        <v>8994856.77408066</v>
      </c>
      <c r="BC71">
        <f t="shared" si="21"/>
        <v>112435.709676008</v>
      </c>
      <c r="BD71">
        <f t="shared" si="22"/>
        <v>0.0125</v>
      </c>
      <c r="BG71">
        <f t="shared" si="30"/>
        <v>-167330.14374552</v>
      </c>
      <c r="BH71">
        <f t="shared" si="31"/>
        <v>7438739.41521569</v>
      </c>
      <c r="BI71">
        <f t="shared" si="23"/>
        <v>92984.2426901961</v>
      </c>
      <c r="BJ71">
        <f t="shared" si="24"/>
        <v>0.0125</v>
      </c>
    </row>
    <row r="72" spans="1:62">
      <c r="A72" s="4">
        <v>45740</v>
      </c>
      <c r="B72" s="7" t="s">
        <v>1208</v>
      </c>
      <c r="C72">
        <v>0.6288</v>
      </c>
      <c r="D72" s="7" t="s">
        <v>1209</v>
      </c>
      <c r="E72">
        <v>0.82</v>
      </c>
      <c r="F72" s="7" t="s">
        <v>1210</v>
      </c>
      <c r="G72" s="7" t="s">
        <v>1211</v>
      </c>
      <c r="H72">
        <v>515.616</v>
      </c>
      <c r="I72" s="7" t="s">
        <v>1212</v>
      </c>
      <c r="J72" s="7" t="s">
        <v>1213</v>
      </c>
      <c r="K72" s="7" t="s">
        <v>1214</v>
      </c>
      <c r="L72" s="1">
        <v>-81.930526008628</v>
      </c>
      <c r="M72" s="7" t="s">
        <v>1215</v>
      </c>
      <c r="N72" s="7" t="s">
        <v>1216</v>
      </c>
      <c r="O72" s="7" t="s">
        <v>1217</v>
      </c>
      <c r="P72" s="7" t="s">
        <v>1218</v>
      </c>
      <c r="Q72">
        <v>1.6566</v>
      </c>
      <c r="R72" s="7" t="s">
        <v>1219</v>
      </c>
      <c r="S72">
        <v>0.65</v>
      </c>
      <c r="T72" s="7" t="s">
        <v>1210</v>
      </c>
      <c r="U72" s="7" t="s">
        <v>1220</v>
      </c>
      <c r="V72" s="7" t="s">
        <v>1221</v>
      </c>
      <c r="W72" s="7" t="s">
        <v>1222</v>
      </c>
      <c r="X72" s="7" t="s">
        <v>1223</v>
      </c>
      <c r="Y72" s="7" t="s">
        <v>1224</v>
      </c>
      <c r="Z72" s="7" t="s">
        <v>1193</v>
      </c>
      <c r="AA72" s="8" t="s">
        <v>1225</v>
      </c>
      <c r="AB72" s="7" t="s">
        <v>1226</v>
      </c>
      <c r="AC72" s="7" t="s">
        <v>1204</v>
      </c>
      <c r="AD72" s="7" t="s">
        <v>1227</v>
      </c>
      <c r="AE72">
        <v>-17435.5552250559</v>
      </c>
      <c r="AF72" s="7" t="s">
        <v>1228</v>
      </c>
      <c r="AK72" s="7" t="s">
        <v>1193</v>
      </c>
      <c r="AL72" s="1">
        <v>-81.930526008628</v>
      </c>
      <c r="AM72">
        <v>66.585</v>
      </c>
      <c r="AN72">
        <f t="shared" si="25"/>
        <v>65.91915</v>
      </c>
      <c r="AO72">
        <f t="shared" si="32"/>
        <v>-54553.4407428454</v>
      </c>
      <c r="AP72">
        <f t="shared" si="33"/>
        <v>-60435.4725802138</v>
      </c>
      <c r="AQ72">
        <f t="shared" si="37"/>
        <v>-114988.913323059</v>
      </c>
      <c r="AR72">
        <f t="shared" si="34"/>
        <v>7723065.23539525</v>
      </c>
      <c r="AS72">
        <f t="shared" si="26"/>
        <v>96538.3154424406</v>
      </c>
      <c r="AT72">
        <f t="shared" si="27"/>
        <v>0.0125</v>
      </c>
      <c r="AW72">
        <v>162.99</v>
      </c>
      <c r="AX72">
        <f t="shared" si="20"/>
        <v>164.6199</v>
      </c>
      <c r="AY72">
        <f t="shared" si="28"/>
        <v>-167971.839872841</v>
      </c>
      <c r="AZ72">
        <f t="shared" si="35"/>
        <v>6983.24610613119</v>
      </c>
      <c r="BA72">
        <f t="shared" si="36"/>
        <v>-160988.59376671</v>
      </c>
      <c r="BB72">
        <f t="shared" si="29"/>
        <v>8833868.18031395</v>
      </c>
      <c r="BC72">
        <f t="shared" si="21"/>
        <v>110423.352253924</v>
      </c>
      <c r="BD72">
        <f t="shared" si="22"/>
        <v>0.0125</v>
      </c>
      <c r="BG72">
        <f t="shared" si="30"/>
        <v>-222525.280615686</v>
      </c>
      <c r="BH72">
        <f t="shared" si="31"/>
        <v>7216214.1346</v>
      </c>
      <c r="BI72">
        <f t="shared" si="23"/>
        <v>90202.6766825</v>
      </c>
      <c r="BJ72">
        <f t="shared" si="24"/>
        <v>0.0125</v>
      </c>
    </row>
    <row r="73" spans="1:62">
      <c r="A73" s="4">
        <v>45741</v>
      </c>
      <c r="B73" s="7" t="s">
        <v>1229</v>
      </c>
      <c r="C73">
        <v>0.6303</v>
      </c>
      <c r="D73">
        <v>630.3</v>
      </c>
      <c r="E73">
        <v>0.81</v>
      </c>
      <c r="F73" s="7" t="s">
        <v>1230</v>
      </c>
      <c r="G73" s="7" t="s">
        <v>1231</v>
      </c>
      <c r="H73">
        <v>510.543</v>
      </c>
      <c r="I73">
        <v>331.0871355</v>
      </c>
      <c r="J73" s="7" t="s">
        <v>1232</v>
      </c>
      <c r="K73" s="7" t="s">
        <v>1233</v>
      </c>
      <c r="L73" s="1">
        <v>-39.3516959103604</v>
      </c>
      <c r="M73" s="7" t="s">
        <v>1234</v>
      </c>
      <c r="N73" s="7" t="s">
        <v>1235</v>
      </c>
      <c r="O73" s="7" t="s">
        <v>1236</v>
      </c>
      <c r="T73" s="7" t="s">
        <v>1230</v>
      </c>
      <c r="Z73" s="7" t="s">
        <v>1215</v>
      </c>
      <c r="AC73" s="7" t="s">
        <v>1226</v>
      </c>
      <c r="AF73" s="7" t="s">
        <v>1237</v>
      </c>
      <c r="AK73" s="7" t="s">
        <v>1215</v>
      </c>
      <c r="AL73" s="1">
        <v>-39.3516959103604</v>
      </c>
      <c r="AM73">
        <v>66.7</v>
      </c>
      <c r="AN73">
        <f t="shared" si="25"/>
        <v>66.033</v>
      </c>
      <c r="AO73">
        <f t="shared" si="32"/>
        <v>-26247.5811722104</v>
      </c>
      <c r="AP73">
        <f t="shared" si="33"/>
        <v>16156.5969329151</v>
      </c>
      <c r="AQ73">
        <f t="shared" si="37"/>
        <v>-10090.9842392953</v>
      </c>
      <c r="AR73">
        <f t="shared" si="34"/>
        <v>7712974.25115595</v>
      </c>
      <c r="AS73">
        <f t="shared" si="26"/>
        <v>96412.1781394494</v>
      </c>
      <c r="AT73">
        <f t="shared" si="27"/>
        <v>0.0125</v>
      </c>
      <c r="AW73">
        <v>163.21</v>
      </c>
      <c r="AX73">
        <f t="shared" si="20"/>
        <v>0</v>
      </c>
      <c r="AY73">
        <f t="shared" si="28"/>
        <v>0</v>
      </c>
      <c r="AZ73">
        <f t="shared" si="35"/>
        <v>25275.3400494437</v>
      </c>
      <c r="BA73">
        <f t="shared" si="36"/>
        <v>25275.3400494437</v>
      </c>
      <c r="BB73">
        <f t="shared" si="29"/>
        <v>8859143.52036339</v>
      </c>
      <c r="BC73">
        <f t="shared" si="21"/>
        <v>110739.294004542</v>
      </c>
      <c r="BD73">
        <f t="shared" si="22"/>
        <v>0.0125</v>
      </c>
      <c r="BG73">
        <f t="shared" si="30"/>
        <v>-26247.5811722104</v>
      </c>
      <c r="BH73">
        <f t="shared" si="31"/>
        <v>7189966.55342779</v>
      </c>
      <c r="BI73">
        <f t="shared" si="23"/>
        <v>89874.5819178474</v>
      </c>
      <c r="BJ73">
        <f t="shared" si="24"/>
        <v>0.0125</v>
      </c>
    </row>
    <row r="74" spans="1:62">
      <c r="A74" s="4">
        <v>45742</v>
      </c>
      <c r="B74" s="7" t="s">
        <v>1238</v>
      </c>
      <c r="C74">
        <v>0.62915</v>
      </c>
      <c r="D74">
        <v>629.15</v>
      </c>
      <c r="E74">
        <v>0.8</v>
      </c>
      <c r="F74" s="7" t="s">
        <v>1239</v>
      </c>
      <c r="G74" s="7" t="s">
        <v>1240</v>
      </c>
      <c r="H74">
        <v>503.32</v>
      </c>
      <c r="I74" s="7" t="s">
        <v>1241</v>
      </c>
      <c r="J74" s="7" t="s">
        <v>1242</v>
      </c>
      <c r="K74" s="7" t="s">
        <v>1243</v>
      </c>
      <c r="L74" s="9" t="s">
        <v>1244</v>
      </c>
      <c r="M74" s="7" t="s">
        <v>1245</v>
      </c>
      <c r="N74" s="7" t="s">
        <v>1246</v>
      </c>
      <c r="O74">
        <v>-2637.66717860366</v>
      </c>
      <c r="T74" s="7" t="s">
        <v>1239</v>
      </c>
      <c r="Z74" s="7" t="s">
        <v>1234</v>
      </c>
      <c r="AE74">
        <v>0</v>
      </c>
      <c r="AF74" s="7" t="s">
        <v>1247</v>
      </c>
      <c r="AK74" s="7" t="s">
        <v>1234</v>
      </c>
      <c r="AL74" s="9" t="s">
        <v>1244</v>
      </c>
      <c r="AM74">
        <v>67.165</v>
      </c>
      <c r="AN74">
        <f t="shared" si="25"/>
        <v>67.83665</v>
      </c>
      <c r="AO74">
        <f t="shared" si="32"/>
        <v>-2502.77679117123</v>
      </c>
      <c r="AP74">
        <f t="shared" si="33"/>
        <v>27231.1538738574</v>
      </c>
      <c r="AQ74">
        <f t="shared" si="37"/>
        <v>24728.3770826862</v>
      </c>
      <c r="AR74">
        <f t="shared" si="34"/>
        <v>7737702.62823864</v>
      </c>
      <c r="AS74">
        <f t="shared" si="26"/>
        <v>96721.282852983</v>
      </c>
      <c r="AT74">
        <f t="shared" si="27"/>
        <v>0.0125</v>
      </c>
      <c r="AW74">
        <v>163.25</v>
      </c>
      <c r="AX74">
        <f t="shared" si="20"/>
        <v>0</v>
      </c>
      <c r="AY74">
        <f t="shared" si="28"/>
        <v>0</v>
      </c>
      <c r="AZ74">
        <f t="shared" si="35"/>
        <v>8717.77761252483</v>
      </c>
      <c r="BA74">
        <f t="shared" si="36"/>
        <v>8717.77761252483</v>
      </c>
      <c r="BB74">
        <f t="shared" si="29"/>
        <v>8867861.29797591</v>
      </c>
      <c r="BC74">
        <f t="shared" si="21"/>
        <v>110848.266224699</v>
      </c>
      <c r="BD74">
        <f t="shared" si="22"/>
        <v>0.0125</v>
      </c>
      <c r="BG74">
        <f t="shared" si="30"/>
        <v>-2502.77679117123</v>
      </c>
      <c r="BH74">
        <f t="shared" si="31"/>
        <v>7187463.77663662</v>
      </c>
      <c r="BI74">
        <f t="shared" si="23"/>
        <v>89843.2972079577</v>
      </c>
      <c r="BJ74">
        <f t="shared" si="24"/>
        <v>0.0125</v>
      </c>
    </row>
    <row r="75" spans="1:62">
      <c r="A75" s="4">
        <v>45743</v>
      </c>
      <c r="B75">
        <v>-0.0496398594279691</v>
      </c>
      <c r="C75">
        <v>0.6304</v>
      </c>
      <c r="D75">
        <v>630.4</v>
      </c>
      <c r="E75">
        <v>0.74</v>
      </c>
      <c r="F75" s="7" t="s">
        <v>1248</v>
      </c>
      <c r="G75" s="7" t="s">
        <v>1249</v>
      </c>
      <c r="H75">
        <v>466.496</v>
      </c>
      <c r="I75">
        <v>302.522656</v>
      </c>
      <c r="J75" s="7" t="s">
        <v>1250</v>
      </c>
      <c r="K75">
        <v>-3.50350872848833</v>
      </c>
      <c r="L75" s="1">
        <v>-25.5428468296789</v>
      </c>
      <c r="M75">
        <v>-2.60661049399532</v>
      </c>
      <c r="N75" s="7" t="s">
        <v>1251</v>
      </c>
      <c r="O75">
        <v>-325.826311749415</v>
      </c>
      <c r="T75" s="7" t="s">
        <v>1248</v>
      </c>
      <c r="Z75" s="7" t="s">
        <v>1245</v>
      </c>
      <c r="AE75">
        <v>0</v>
      </c>
      <c r="AF75" s="7" t="s">
        <v>1252</v>
      </c>
      <c r="AK75" s="7" t="s">
        <v>1245</v>
      </c>
      <c r="AL75" s="1">
        <v>-25.5428468296789</v>
      </c>
      <c r="AM75">
        <v>68.06</v>
      </c>
      <c r="AN75">
        <f t="shared" si="25"/>
        <v>67.3794</v>
      </c>
      <c r="AO75">
        <f t="shared" si="32"/>
        <v>-17384.4615522794</v>
      </c>
      <c r="AP75">
        <f t="shared" si="33"/>
        <v>17192.8831647481</v>
      </c>
      <c r="AQ75">
        <f t="shared" si="37"/>
        <v>-191.578387531295</v>
      </c>
      <c r="AR75">
        <f t="shared" si="34"/>
        <v>7737511.04985111</v>
      </c>
      <c r="AS75">
        <f t="shared" si="26"/>
        <v>96718.8881231389</v>
      </c>
      <c r="AT75">
        <f t="shared" si="27"/>
        <v>0.0125</v>
      </c>
      <c r="AW75">
        <v>163.25</v>
      </c>
      <c r="AX75">
        <f t="shared" si="20"/>
        <v>0</v>
      </c>
      <c r="AY75">
        <f t="shared" si="28"/>
        <v>0</v>
      </c>
      <c r="AZ75">
        <f t="shared" si="35"/>
        <v>0</v>
      </c>
      <c r="BA75">
        <f t="shared" si="36"/>
        <v>0</v>
      </c>
      <c r="BB75">
        <f t="shared" si="29"/>
        <v>8867861.29797591</v>
      </c>
      <c r="BC75">
        <f t="shared" si="21"/>
        <v>110848.266224699</v>
      </c>
      <c r="BD75">
        <f t="shared" si="22"/>
        <v>0.0125</v>
      </c>
      <c r="BG75">
        <f t="shared" si="30"/>
        <v>-17384.4615522794</v>
      </c>
      <c r="BH75">
        <f t="shared" si="31"/>
        <v>7170079.31508434</v>
      </c>
      <c r="BI75">
        <f t="shared" si="23"/>
        <v>89625.9914385543</v>
      </c>
      <c r="BJ75">
        <f t="shared" si="24"/>
        <v>0.0125</v>
      </c>
    </row>
    <row r="76" spans="39:62">
      <c r="AM76">
        <v>67.225</v>
      </c>
      <c r="AN76">
        <f t="shared" si="25"/>
        <v>0</v>
      </c>
      <c r="AO76">
        <f t="shared" si="32"/>
        <v>0</v>
      </c>
      <c r="AP76">
        <f t="shared" si="33"/>
        <v>-19151.757340296</v>
      </c>
      <c r="AQ76">
        <f t="shared" si="37"/>
        <v>-19151.757340296</v>
      </c>
      <c r="AR76">
        <f t="shared" si="34"/>
        <v>7718359.29251081</v>
      </c>
      <c r="AS76">
        <f t="shared" si="26"/>
        <v>96479.4911563852</v>
      </c>
      <c r="AT76">
        <f t="shared" si="27"/>
        <v>0.0125</v>
      </c>
      <c r="AW76">
        <v>163.25</v>
      </c>
      <c r="AX76">
        <f t="shared" si="20"/>
        <v>0</v>
      </c>
      <c r="AY76">
        <f t="shared" si="28"/>
        <v>0</v>
      </c>
      <c r="AZ76">
        <f t="shared" si="35"/>
        <v>0</v>
      </c>
      <c r="BA76">
        <f t="shared" si="36"/>
        <v>0</v>
      </c>
      <c r="BB76">
        <f t="shared" si="29"/>
        <v>8867861.29797591</v>
      </c>
      <c r="BC76">
        <f t="shared" si="21"/>
        <v>110848.266224699</v>
      </c>
      <c r="BD76">
        <f t="shared" si="22"/>
        <v>0.0125</v>
      </c>
      <c r="BG76">
        <f t="shared" si="30"/>
        <v>0</v>
      </c>
      <c r="BH76">
        <f t="shared" si="31"/>
        <v>7170079.31508434</v>
      </c>
      <c r="BI76">
        <f t="shared" si="23"/>
        <v>89625.9914385543</v>
      </c>
      <c r="BJ76">
        <f t="shared" si="24"/>
        <v>0.0125</v>
      </c>
    </row>
    <row r="77" spans="39:62">
      <c r="AM77">
        <v>67.18</v>
      </c>
      <c r="AN77">
        <f t="shared" si="25"/>
        <v>0</v>
      </c>
      <c r="AO77">
        <f t="shared" si="32"/>
        <v>0</v>
      </c>
      <c r="AP77">
        <f t="shared" si="33"/>
        <v>0</v>
      </c>
      <c r="AQ77">
        <f t="shared" si="37"/>
        <v>0</v>
      </c>
      <c r="AR77">
        <f t="shared" si="34"/>
        <v>7718359.29251081</v>
      </c>
      <c r="AS77">
        <f t="shared" si="26"/>
        <v>96479.4911563852</v>
      </c>
      <c r="AT77">
        <f t="shared" si="27"/>
        <v>0.0125</v>
      </c>
      <c r="AW77">
        <v>163.54</v>
      </c>
      <c r="AX77">
        <f t="shared" si="20"/>
        <v>0</v>
      </c>
      <c r="AY77">
        <f t="shared" si="28"/>
        <v>0</v>
      </c>
      <c r="AZ77">
        <f t="shared" si="35"/>
        <v>0</v>
      </c>
      <c r="BA77">
        <f t="shared" si="36"/>
        <v>0</v>
      </c>
      <c r="BB77">
        <f t="shared" si="29"/>
        <v>8867861.29797591</v>
      </c>
      <c r="BC77">
        <f t="shared" si="21"/>
        <v>110848.266224699</v>
      </c>
      <c r="BD77">
        <f t="shared" si="22"/>
        <v>0.0125</v>
      </c>
      <c r="BG77">
        <f t="shared" si="30"/>
        <v>0</v>
      </c>
      <c r="BH77">
        <f t="shared" si="31"/>
        <v>7170079.31508434</v>
      </c>
      <c r="BI77">
        <f t="shared" si="23"/>
        <v>89625.9914385543</v>
      </c>
      <c r="BJ77">
        <f t="shared" si="24"/>
        <v>0.0125</v>
      </c>
    </row>
    <row r="78" spans="39:62">
      <c r="AM78">
        <v>67.44</v>
      </c>
      <c r="AN78">
        <f t="shared" si="25"/>
        <v>0</v>
      </c>
      <c r="AO78">
        <f t="shared" si="32"/>
        <v>0</v>
      </c>
      <c r="AP78">
        <f t="shared" si="33"/>
        <v>0</v>
      </c>
      <c r="AQ78">
        <f t="shared" si="37"/>
        <v>0</v>
      </c>
      <c r="AR78">
        <f t="shared" si="34"/>
        <v>7718359.29251081</v>
      </c>
      <c r="AS78">
        <f t="shared" si="26"/>
        <v>96479.4911563852</v>
      </c>
      <c r="AT78">
        <f t="shared" si="27"/>
        <v>0.0125</v>
      </c>
      <c r="AW78">
        <v>163.68</v>
      </c>
      <c r="AX78">
        <f t="shared" si="20"/>
        <v>0</v>
      </c>
      <c r="AY78">
        <f t="shared" si="28"/>
        <v>0</v>
      </c>
      <c r="AZ78">
        <f t="shared" si="35"/>
        <v>0</v>
      </c>
      <c r="BA78">
        <f t="shared" si="36"/>
        <v>0</v>
      </c>
      <c r="BB78">
        <f t="shared" si="29"/>
        <v>8867861.29797591</v>
      </c>
      <c r="BC78">
        <f t="shared" si="21"/>
        <v>110848.266224699</v>
      </c>
      <c r="BD78">
        <f t="shared" si="22"/>
        <v>0.0125</v>
      </c>
      <c r="BG78">
        <f t="shared" si="30"/>
        <v>0</v>
      </c>
      <c r="BH78">
        <f t="shared" si="31"/>
        <v>7170079.31508434</v>
      </c>
      <c r="BI78">
        <f t="shared" si="23"/>
        <v>89625.9914385543</v>
      </c>
      <c r="BJ78">
        <f t="shared" si="24"/>
        <v>0.0125</v>
      </c>
    </row>
    <row r="79" spans="39:62">
      <c r="AM79">
        <v>67.315</v>
      </c>
      <c r="AN79">
        <f t="shared" si="25"/>
        <v>0</v>
      </c>
      <c r="AO79">
        <f t="shared" si="32"/>
        <v>0</v>
      </c>
      <c r="AP79">
        <f t="shared" si="33"/>
        <v>0</v>
      </c>
      <c r="AQ79">
        <f t="shared" si="37"/>
        <v>0</v>
      </c>
      <c r="AR79">
        <f t="shared" si="34"/>
        <v>7718359.29251081</v>
      </c>
      <c r="AS79">
        <f t="shared" si="26"/>
        <v>96479.4911563852</v>
      </c>
      <c r="AT79">
        <f t="shared" si="27"/>
        <v>0.0125</v>
      </c>
      <c r="AW79">
        <v>163.25</v>
      </c>
      <c r="AX79">
        <f t="shared" si="20"/>
        <v>0</v>
      </c>
      <c r="AY79">
        <f t="shared" si="28"/>
        <v>0</v>
      </c>
      <c r="AZ79">
        <f t="shared" si="35"/>
        <v>0</v>
      </c>
      <c r="BA79">
        <f t="shared" si="36"/>
        <v>0</v>
      </c>
      <c r="BB79">
        <f t="shared" si="29"/>
        <v>8867861.29797591</v>
      </c>
      <c r="BC79">
        <f t="shared" si="21"/>
        <v>110848.266224699</v>
      </c>
      <c r="BD79">
        <f t="shared" si="22"/>
        <v>0.0125</v>
      </c>
      <c r="BG79">
        <f t="shared" si="30"/>
        <v>0</v>
      </c>
      <c r="BH79">
        <f t="shared" si="31"/>
        <v>7170079.31508434</v>
      </c>
      <c r="BI79">
        <f t="shared" si="23"/>
        <v>89625.9914385543</v>
      </c>
      <c r="BJ79">
        <f t="shared" si="24"/>
        <v>0.0125</v>
      </c>
    </row>
    <row r="80" spans="39:62">
      <c r="AM80">
        <v>67.58</v>
      </c>
      <c r="AN80">
        <f t="shared" si="25"/>
        <v>0</v>
      </c>
      <c r="AO80">
        <f t="shared" si="32"/>
        <v>0</v>
      </c>
      <c r="AP80">
        <f t="shared" si="33"/>
        <v>0</v>
      </c>
      <c r="AQ80">
        <f t="shared" si="37"/>
        <v>0</v>
      </c>
      <c r="AR80">
        <f t="shared" si="34"/>
        <v>7718359.29251081</v>
      </c>
      <c r="AS80">
        <f t="shared" si="26"/>
        <v>96479.4911563852</v>
      </c>
      <c r="AT80">
        <f t="shared" si="27"/>
        <v>0.0125</v>
      </c>
      <c r="AW80">
        <v>162.74</v>
      </c>
      <c r="AX80">
        <f t="shared" si="20"/>
        <v>0</v>
      </c>
      <c r="AY80">
        <f t="shared" si="28"/>
        <v>0</v>
      </c>
      <c r="AZ80">
        <f t="shared" si="35"/>
        <v>0</v>
      </c>
      <c r="BA80">
        <f t="shared" si="36"/>
        <v>0</v>
      </c>
      <c r="BB80">
        <f t="shared" si="29"/>
        <v>8867861.29797591</v>
      </c>
      <c r="BC80">
        <f t="shared" si="21"/>
        <v>110848.266224699</v>
      </c>
      <c r="BD80">
        <f t="shared" si="22"/>
        <v>0.0125</v>
      </c>
      <c r="BG80">
        <f t="shared" si="30"/>
        <v>0</v>
      </c>
      <c r="BH80">
        <f t="shared" si="31"/>
        <v>7170079.31508434</v>
      </c>
      <c r="BI80">
        <f t="shared" si="23"/>
        <v>89625.9914385543</v>
      </c>
      <c r="BJ80">
        <f t="shared" si="24"/>
        <v>0.0125</v>
      </c>
    </row>
    <row r="81" spans="39:62">
      <c r="AM81">
        <v>67</v>
      </c>
      <c r="AN81">
        <f t="shared" si="25"/>
        <v>0</v>
      </c>
      <c r="AO81">
        <f t="shared" si="32"/>
        <v>0</v>
      </c>
      <c r="AP81">
        <f t="shared" si="33"/>
        <v>0</v>
      </c>
      <c r="AQ81">
        <f t="shared" si="37"/>
        <v>0</v>
      </c>
      <c r="AR81">
        <f t="shared" si="34"/>
        <v>7718359.29251081</v>
      </c>
      <c r="AS81">
        <f t="shared" si="26"/>
        <v>96479.4911563852</v>
      </c>
      <c r="AT81">
        <f t="shared" si="27"/>
        <v>0.0125</v>
      </c>
      <c r="AW81">
        <v>162.74</v>
      </c>
      <c r="AX81">
        <f t="shared" si="20"/>
        <v>0</v>
      </c>
      <c r="AY81">
        <f t="shared" si="28"/>
        <v>0</v>
      </c>
      <c r="AZ81">
        <f t="shared" si="35"/>
        <v>0</v>
      </c>
      <c r="BA81">
        <f t="shared" si="36"/>
        <v>0</v>
      </c>
      <c r="BB81">
        <f t="shared" si="29"/>
        <v>8867861.29797591</v>
      </c>
      <c r="BC81">
        <f t="shared" si="21"/>
        <v>110848.266224699</v>
      </c>
      <c r="BD81">
        <f t="shared" si="22"/>
        <v>0.0125</v>
      </c>
      <c r="BG81">
        <f t="shared" si="30"/>
        <v>0</v>
      </c>
      <c r="BH81">
        <f t="shared" si="31"/>
        <v>7170079.31508434</v>
      </c>
      <c r="BI81">
        <f t="shared" si="23"/>
        <v>89625.9914385543</v>
      </c>
      <c r="BJ81">
        <f t="shared" si="24"/>
        <v>0.0125</v>
      </c>
    </row>
    <row r="82" spans="39:62">
      <c r="AM82">
        <v>67.07</v>
      </c>
      <c r="AN82">
        <f t="shared" si="25"/>
        <v>0</v>
      </c>
      <c r="AO82">
        <f t="shared" si="32"/>
        <v>0</v>
      </c>
      <c r="AP82">
        <f t="shared" si="33"/>
        <v>0</v>
      </c>
      <c r="AQ82">
        <f t="shared" si="37"/>
        <v>0</v>
      </c>
      <c r="AR82">
        <f t="shared" si="34"/>
        <v>7718359.29251081</v>
      </c>
      <c r="AS82">
        <f t="shared" si="26"/>
        <v>96479.4911563852</v>
      </c>
      <c r="AT82">
        <f t="shared" si="27"/>
        <v>0.0125</v>
      </c>
      <c r="AW82">
        <v>161.35</v>
      </c>
      <c r="AX82">
        <f t="shared" si="20"/>
        <v>0</v>
      </c>
      <c r="AY82">
        <f t="shared" si="28"/>
        <v>0</v>
      </c>
      <c r="AZ82">
        <f t="shared" si="35"/>
        <v>0</v>
      </c>
      <c r="BA82">
        <f t="shared" si="36"/>
        <v>0</v>
      </c>
      <c r="BB82">
        <f t="shared" si="29"/>
        <v>8867861.29797591</v>
      </c>
      <c r="BC82">
        <f t="shared" si="21"/>
        <v>110848.266224699</v>
      </c>
      <c r="BD82">
        <f t="shared" si="22"/>
        <v>0.0125</v>
      </c>
      <c r="BG82">
        <f t="shared" si="30"/>
        <v>0</v>
      </c>
      <c r="BH82">
        <f t="shared" si="31"/>
        <v>7170079.31508434</v>
      </c>
      <c r="BI82">
        <f t="shared" si="23"/>
        <v>89625.9914385543</v>
      </c>
      <c r="BJ82">
        <f t="shared" si="24"/>
        <v>0.0125</v>
      </c>
    </row>
    <row r="83" spans="39:62">
      <c r="AM83">
        <v>66.325</v>
      </c>
      <c r="AN83">
        <f t="shared" si="25"/>
        <v>0</v>
      </c>
      <c r="AO83">
        <f t="shared" si="32"/>
        <v>0</v>
      </c>
      <c r="AP83">
        <f t="shared" si="33"/>
        <v>0</v>
      </c>
      <c r="AQ83">
        <f t="shared" si="37"/>
        <v>0</v>
      </c>
      <c r="AR83">
        <f t="shared" si="34"/>
        <v>7718359.29251081</v>
      </c>
      <c r="AS83">
        <f t="shared" si="26"/>
        <v>96479.4911563852</v>
      </c>
      <c r="AT83">
        <f t="shared" si="27"/>
        <v>0.0125</v>
      </c>
      <c r="AW83">
        <v>160.98</v>
      </c>
      <c r="AX83">
        <f t="shared" si="20"/>
        <v>0</v>
      </c>
      <c r="AY83">
        <f t="shared" si="28"/>
        <v>0</v>
      </c>
      <c r="AZ83">
        <f t="shared" si="35"/>
        <v>0</v>
      </c>
      <c r="BA83">
        <f t="shared" si="36"/>
        <v>0</v>
      </c>
      <c r="BB83">
        <f t="shared" si="29"/>
        <v>8867861.29797591</v>
      </c>
      <c r="BC83">
        <f t="shared" si="21"/>
        <v>110848.266224699</v>
      </c>
      <c r="BD83">
        <f t="shared" si="22"/>
        <v>0.0125</v>
      </c>
      <c r="BG83">
        <f t="shared" si="30"/>
        <v>0</v>
      </c>
      <c r="BH83">
        <f t="shared" si="31"/>
        <v>7170079.31508434</v>
      </c>
      <c r="BI83">
        <f t="shared" si="23"/>
        <v>89625.9914385543</v>
      </c>
      <c r="BJ83">
        <f t="shared" si="24"/>
        <v>0.0125</v>
      </c>
    </row>
    <row r="84" spans="39:62">
      <c r="AM84">
        <v>66.07</v>
      </c>
      <c r="AN84">
        <f t="shared" si="25"/>
        <v>0</v>
      </c>
      <c r="AO84">
        <f t="shared" si="32"/>
        <v>0</v>
      </c>
      <c r="AP84">
        <f t="shared" si="33"/>
        <v>0</v>
      </c>
      <c r="AQ84">
        <f t="shared" si="37"/>
        <v>0</v>
      </c>
      <c r="AR84">
        <f t="shared" si="34"/>
        <v>7718359.29251081</v>
      </c>
      <c r="AS84">
        <f t="shared" si="26"/>
        <v>96479.4911563852</v>
      </c>
      <c r="AT84">
        <f t="shared" si="27"/>
        <v>0.0125</v>
      </c>
      <c r="AW84">
        <v>161.27</v>
      </c>
      <c r="AX84">
        <f t="shared" si="20"/>
        <v>0</v>
      </c>
      <c r="AY84">
        <f t="shared" si="28"/>
        <v>0</v>
      </c>
      <c r="AZ84">
        <f t="shared" si="35"/>
        <v>0</v>
      </c>
      <c r="BA84">
        <f t="shared" si="36"/>
        <v>0</v>
      </c>
      <c r="BB84">
        <f t="shared" si="29"/>
        <v>8867861.29797591</v>
      </c>
      <c r="BC84">
        <f t="shared" si="21"/>
        <v>110848.266224699</v>
      </c>
      <c r="BD84">
        <f t="shared" si="22"/>
        <v>0.0125</v>
      </c>
      <c r="BG84">
        <f t="shared" si="30"/>
        <v>0</v>
      </c>
      <c r="BH84">
        <f t="shared" si="31"/>
        <v>7170079.31508434</v>
      </c>
      <c r="BI84">
        <f t="shared" si="23"/>
        <v>89625.9914385543</v>
      </c>
      <c r="BJ84">
        <f t="shared" si="24"/>
        <v>0.0125</v>
      </c>
    </row>
    <row r="85" spans="39:62">
      <c r="AM85">
        <v>66.445</v>
      </c>
      <c r="AN85">
        <f t="shared" si="25"/>
        <v>0</v>
      </c>
      <c r="AO85">
        <f t="shared" si="32"/>
        <v>0</v>
      </c>
      <c r="AP85">
        <f t="shared" si="33"/>
        <v>0</v>
      </c>
      <c r="AQ85">
        <f t="shared" si="37"/>
        <v>0</v>
      </c>
      <c r="AR85">
        <f t="shared" si="34"/>
        <v>7718359.29251081</v>
      </c>
      <c r="AS85">
        <f t="shared" si="26"/>
        <v>96479.4911563852</v>
      </c>
      <c r="AT85">
        <f t="shared" si="27"/>
        <v>0.0125</v>
      </c>
      <c r="AW85">
        <v>162.01</v>
      </c>
      <c r="AX85">
        <f t="shared" si="20"/>
        <v>0</v>
      </c>
      <c r="AY85">
        <f t="shared" si="28"/>
        <v>0</v>
      </c>
      <c r="AZ85">
        <f t="shared" si="35"/>
        <v>0</v>
      </c>
      <c r="BA85">
        <f t="shared" si="36"/>
        <v>0</v>
      </c>
      <c r="BB85">
        <f t="shared" si="29"/>
        <v>8867861.29797591</v>
      </c>
      <c r="BC85">
        <f t="shared" si="21"/>
        <v>110848.266224699</v>
      </c>
      <c r="BD85">
        <f t="shared" si="22"/>
        <v>0.0125</v>
      </c>
      <c r="BG85">
        <f t="shared" si="30"/>
        <v>0</v>
      </c>
      <c r="BH85">
        <f t="shared" si="31"/>
        <v>7170079.31508434</v>
      </c>
      <c r="BI85">
        <f t="shared" si="23"/>
        <v>89625.9914385543</v>
      </c>
      <c r="BJ85">
        <f t="shared" si="24"/>
        <v>0.0125</v>
      </c>
    </row>
    <row r="86" spans="39:62">
      <c r="AM86">
        <v>66.285</v>
      </c>
      <c r="AN86">
        <f t="shared" si="25"/>
        <v>0</v>
      </c>
      <c r="AO86">
        <f t="shared" si="32"/>
        <v>0</v>
      </c>
      <c r="AP86">
        <f t="shared" si="33"/>
        <v>0</v>
      </c>
      <c r="AQ86">
        <f t="shared" si="37"/>
        <v>0</v>
      </c>
      <c r="AR86">
        <f t="shared" si="34"/>
        <v>7718359.29251081</v>
      </c>
      <c r="AS86">
        <f t="shared" si="26"/>
        <v>96479.4911563852</v>
      </c>
      <c r="AT86">
        <f t="shared" si="27"/>
        <v>0.0125</v>
      </c>
      <c r="AW86">
        <v>162.01</v>
      </c>
      <c r="AX86">
        <f t="shared" si="20"/>
        <v>0</v>
      </c>
      <c r="AY86">
        <f t="shared" si="28"/>
        <v>0</v>
      </c>
      <c r="AZ86">
        <f t="shared" si="35"/>
        <v>0</v>
      </c>
      <c r="BA86">
        <f t="shared" si="36"/>
        <v>0</v>
      </c>
      <c r="BB86">
        <f t="shared" si="29"/>
        <v>8867861.29797591</v>
      </c>
      <c r="BC86">
        <f t="shared" si="21"/>
        <v>110848.266224699</v>
      </c>
      <c r="BD86">
        <f t="shared" si="22"/>
        <v>0.0125</v>
      </c>
      <c r="BG86">
        <f t="shared" si="30"/>
        <v>0</v>
      </c>
      <c r="BH86">
        <f t="shared" si="31"/>
        <v>7170079.31508434</v>
      </c>
      <c r="BI86">
        <f t="shared" si="23"/>
        <v>89625.9914385543</v>
      </c>
      <c r="BJ86">
        <f t="shared" si="24"/>
        <v>0.0125</v>
      </c>
    </row>
    <row r="87" spans="39:62">
      <c r="AM87">
        <v>66.435</v>
      </c>
      <c r="AN87">
        <f t="shared" si="25"/>
        <v>0</v>
      </c>
      <c r="AO87">
        <f t="shared" si="32"/>
        <v>0</v>
      </c>
      <c r="AP87">
        <f t="shared" si="33"/>
        <v>0</v>
      </c>
      <c r="AQ87">
        <f t="shared" si="37"/>
        <v>0</v>
      </c>
      <c r="AR87">
        <f t="shared" si="34"/>
        <v>7718359.29251081</v>
      </c>
      <c r="AS87">
        <f t="shared" si="26"/>
        <v>96479.4911563852</v>
      </c>
      <c r="AT87">
        <f t="shared" si="27"/>
        <v>0.0125</v>
      </c>
      <c r="AW87">
        <v>161.78</v>
      </c>
      <c r="AX87">
        <f t="shared" si="20"/>
        <v>0</v>
      </c>
      <c r="AY87">
        <f t="shared" si="28"/>
        <v>0</v>
      </c>
      <c r="AZ87">
        <f t="shared" si="35"/>
        <v>0</v>
      </c>
      <c r="BA87">
        <f t="shared" si="36"/>
        <v>0</v>
      </c>
      <c r="BB87">
        <f t="shared" si="29"/>
        <v>8867861.29797591</v>
      </c>
      <c r="BC87">
        <f t="shared" si="21"/>
        <v>110848.266224699</v>
      </c>
      <c r="BD87">
        <f t="shared" si="22"/>
        <v>0.0125</v>
      </c>
      <c r="BG87">
        <f t="shared" si="30"/>
        <v>0</v>
      </c>
      <c r="BH87">
        <f t="shared" si="31"/>
        <v>7170079.31508434</v>
      </c>
      <c r="BI87">
        <f t="shared" si="23"/>
        <v>89625.9914385543</v>
      </c>
      <c r="BJ87">
        <f t="shared" si="24"/>
        <v>0.0125</v>
      </c>
    </row>
    <row r="88" spans="39:62">
      <c r="AM88">
        <v>66.745</v>
      </c>
      <c r="AN88">
        <f t="shared" si="25"/>
        <v>0</v>
      </c>
      <c r="AO88">
        <f t="shared" si="32"/>
        <v>0</v>
      </c>
      <c r="AP88">
        <f t="shared" si="33"/>
        <v>0</v>
      </c>
      <c r="AQ88">
        <f t="shared" si="37"/>
        <v>0</v>
      </c>
      <c r="AR88">
        <f t="shared" si="34"/>
        <v>7718359.29251081</v>
      </c>
      <c r="AS88">
        <f t="shared" si="26"/>
        <v>96479.4911563852</v>
      </c>
      <c r="AT88">
        <f t="shared" si="27"/>
        <v>0.0125</v>
      </c>
      <c r="AW88">
        <v>161.69</v>
      </c>
      <c r="AX88">
        <f t="shared" si="20"/>
        <v>0</v>
      </c>
      <c r="AY88">
        <f t="shared" si="28"/>
        <v>0</v>
      </c>
      <c r="AZ88">
        <f t="shared" si="35"/>
        <v>0</v>
      </c>
      <c r="BA88">
        <f t="shared" si="36"/>
        <v>0</v>
      </c>
      <c r="BB88">
        <f t="shared" si="29"/>
        <v>8867861.29797591</v>
      </c>
      <c r="BC88">
        <f t="shared" si="21"/>
        <v>110848.266224699</v>
      </c>
      <c r="BD88">
        <f t="shared" si="22"/>
        <v>0.0125</v>
      </c>
      <c r="BG88">
        <f t="shared" si="30"/>
        <v>0</v>
      </c>
      <c r="BH88">
        <f t="shared" si="31"/>
        <v>7170079.31508434</v>
      </c>
      <c r="BI88">
        <f t="shared" si="23"/>
        <v>89625.9914385543</v>
      </c>
      <c r="BJ88">
        <f t="shared" si="24"/>
        <v>0.0125</v>
      </c>
    </row>
    <row r="89" spans="39:62">
      <c r="AM89">
        <v>66.975</v>
      </c>
      <c r="AN89">
        <f t="shared" si="25"/>
        <v>0</v>
      </c>
      <c r="AO89">
        <f t="shared" si="32"/>
        <v>0</v>
      </c>
      <c r="AP89">
        <f t="shared" si="33"/>
        <v>0</v>
      </c>
      <c r="AQ89">
        <f t="shared" si="37"/>
        <v>0</v>
      </c>
      <c r="AR89">
        <f t="shared" si="34"/>
        <v>7718359.29251081</v>
      </c>
      <c r="AS89">
        <f t="shared" si="26"/>
        <v>96479.4911563852</v>
      </c>
      <c r="AT89">
        <f t="shared" si="27"/>
        <v>0.0125</v>
      </c>
      <c r="AW89">
        <v>161.69</v>
      </c>
      <c r="AX89">
        <f t="shared" si="20"/>
        <v>0</v>
      </c>
      <c r="AY89">
        <f t="shared" si="28"/>
        <v>0</v>
      </c>
      <c r="AZ89">
        <f t="shared" si="35"/>
        <v>0</v>
      </c>
      <c r="BA89">
        <f t="shared" si="36"/>
        <v>0</v>
      </c>
      <c r="BB89">
        <f t="shared" si="29"/>
        <v>8867861.29797591</v>
      </c>
      <c r="BC89">
        <f t="shared" si="21"/>
        <v>110848.266224699</v>
      </c>
      <c r="BD89">
        <f t="shared" si="22"/>
        <v>0.0125</v>
      </c>
      <c r="BG89">
        <f t="shared" si="30"/>
        <v>0</v>
      </c>
      <c r="BH89">
        <f t="shared" si="31"/>
        <v>7170079.31508434</v>
      </c>
      <c r="BI89">
        <f t="shared" si="23"/>
        <v>89625.9914385543</v>
      </c>
      <c r="BJ89">
        <f t="shared" si="24"/>
        <v>0.0125</v>
      </c>
    </row>
    <row r="90" spans="39:62">
      <c r="AM90">
        <v>67.065</v>
      </c>
      <c r="AN90">
        <f t="shared" si="25"/>
        <v>0</v>
      </c>
      <c r="AO90">
        <f t="shared" si="32"/>
        <v>0</v>
      </c>
      <c r="AP90">
        <f t="shared" si="33"/>
        <v>0</v>
      </c>
      <c r="AQ90">
        <f t="shared" si="37"/>
        <v>0</v>
      </c>
      <c r="AR90">
        <f t="shared" si="34"/>
        <v>7718359.29251081</v>
      </c>
      <c r="AS90">
        <f t="shared" si="26"/>
        <v>96479.4911563852</v>
      </c>
      <c r="AT90">
        <f t="shared" si="27"/>
        <v>0.0125</v>
      </c>
      <c r="AW90">
        <v>160.9</v>
      </c>
      <c r="AX90">
        <f t="shared" si="20"/>
        <v>0</v>
      </c>
      <c r="AY90">
        <f t="shared" si="28"/>
        <v>0</v>
      </c>
      <c r="AZ90">
        <f t="shared" si="35"/>
        <v>0</v>
      </c>
      <c r="BA90">
        <f t="shared" si="36"/>
        <v>0</v>
      </c>
      <c r="BB90">
        <f t="shared" si="29"/>
        <v>8867861.29797591</v>
      </c>
      <c r="BC90">
        <f t="shared" si="21"/>
        <v>110848.266224699</v>
      </c>
      <c r="BD90">
        <f t="shared" si="22"/>
        <v>0.0125</v>
      </c>
      <c r="BG90">
        <f t="shared" si="30"/>
        <v>0</v>
      </c>
      <c r="BH90">
        <f t="shared" si="31"/>
        <v>7170079.31508434</v>
      </c>
      <c r="BI90">
        <f t="shared" si="23"/>
        <v>89625.9914385543</v>
      </c>
      <c r="BJ90">
        <f t="shared" si="24"/>
        <v>0.0125</v>
      </c>
    </row>
    <row r="91" spans="39:62">
      <c r="AM91">
        <v>67.66</v>
      </c>
      <c r="AN91">
        <f t="shared" si="25"/>
        <v>0</v>
      </c>
      <c r="AO91">
        <f t="shared" si="32"/>
        <v>0</v>
      </c>
      <c r="AP91">
        <f t="shared" si="33"/>
        <v>0</v>
      </c>
      <c r="AQ91">
        <f t="shared" si="37"/>
        <v>0</v>
      </c>
      <c r="AR91">
        <f t="shared" si="34"/>
        <v>7718359.29251081</v>
      </c>
      <c r="AS91">
        <f t="shared" si="26"/>
        <v>96479.4911563852</v>
      </c>
      <c r="AT91">
        <f t="shared" si="27"/>
        <v>0.0125</v>
      </c>
      <c r="AW91">
        <v>160.46</v>
      </c>
      <c r="AX91">
        <f t="shared" si="20"/>
        <v>0</v>
      </c>
      <c r="AY91">
        <f t="shared" si="28"/>
        <v>0</v>
      </c>
      <c r="AZ91">
        <f t="shared" si="35"/>
        <v>0</v>
      </c>
      <c r="BA91">
        <f t="shared" si="36"/>
        <v>0</v>
      </c>
      <c r="BB91">
        <f t="shared" si="29"/>
        <v>8867861.29797591</v>
      </c>
      <c r="BC91">
        <f t="shared" si="21"/>
        <v>110848.266224699</v>
      </c>
      <c r="BD91">
        <f t="shared" si="22"/>
        <v>0.0125</v>
      </c>
      <c r="BG91">
        <f t="shared" si="30"/>
        <v>0</v>
      </c>
      <c r="BH91">
        <f t="shared" si="31"/>
        <v>7170079.31508434</v>
      </c>
      <c r="BI91">
        <f t="shared" si="23"/>
        <v>89625.9914385543</v>
      </c>
      <c r="BJ91">
        <f t="shared" si="24"/>
        <v>0.0125</v>
      </c>
    </row>
    <row r="92" spans="39:62">
      <c r="AM92">
        <v>67.975</v>
      </c>
      <c r="AN92">
        <f t="shared" si="25"/>
        <v>0</v>
      </c>
      <c r="AO92">
        <f t="shared" si="32"/>
        <v>0</v>
      </c>
      <c r="AP92">
        <f t="shared" si="33"/>
        <v>0</v>
      </c>
      <c r="AQ92">
        <f t="shared" si="37"/>
        <v>0</v>
      </c>
      <c r="AR92">
        <f t="shared" si="34"/>
        <v>7718359.29251081</v>
      </c>
      <c r="AS92">
        <f t="shared" si="26"/>
        <v>96479.4911563852</v>
      </c>
      <c r="AT92">
        <f t="shared" si="27"/>
        <v>0.0125</v>
      </c>
      <c r="AW92">
        <v>160.46</v>
      </c>
      <c r="AX92">
        <f t="shared" si="20"/>
        <v>0</v>
      </c>
      <c r="AY92">
        <f t="shared" si="28"/>
        <v>0</v>
      </c>
      <c r="AZ92">
        <f t="shared" si="35"/>
        <v>0</v>
      </c>
      <c r="BA92">
        <f t="shared" si="36"/>
        <v>0</v>
      </c>
      <c r="BB92">
        <f t="shared" si="29"/>
        <v>8867861.29797591</v>
      </c>
      <c r="BC92">
        <f t="shared" si="21"/>
        <v>110848.266224699</v>
      </c>
      <c r="BD92">
        <f t="shared" si="22"/>
        <v>0.0125</v>
      </c>
      <c r="BG92">
        <f t="shared" si="30"/>
        <v>0</v>
      </c>
      <c r="BH92">
        <f t="shared" si="31"/>
        <v>7170079.31508434</v>
      </c>
      <c r="BI92">
        <f t="shared" si="23"/>
        <v>89625.9914385543</v>
      </c>
      <c r="BJ92">
        <f t="shared" si="24"/>
        <v>0.0125</v>
      </c>
    </row>
    <row r="93" spans="39:62">
      <c r="AM93">
        <v>67.745</v>
      </c>
      <c r="AN93">
        <f t="shared" si="25"/>
        <v>0</v>
      </c>
      <c r="AO93">
        <f t="shared" si="32"/>
        <v>0</v>
      </c>
      <c r="AP93">
        <f t="shared" si="33"/>
        <v>0</v>
      </c>
      <c r="AQ93">
        <f t="shared" si="37"/>
        <v>0</v>
      </c>
      <c r="AR93">
        <f t="shared" si="34"/>
        <v>7718359.29251081</v>
      </c>
      <c r="AS93">
        <f t="shared" si="26"/>
        <v>96479.4911563852</v>
      </c>
      <c r="AT93">
        <f t="shared" si="27"/>
        <v>0.0125</v>
      </c>
      <c r="AW93">
        <v>160.29</v>
      </c>
      <c r="AX93">
        <f t="shared" si="20"/>
        <v>0</v>
      </c>
      <c r="AY93">
        <f t="shared" si="28"/>
        <v>0</v>
      </c>
      <c r="AZ93">
        <f t="shared" si="35"/>
        <v>0</v>
      </c>
      <c r="BA93">
        <f t="shared" si="36"/>
        <v>0</v>
      </c>
      <c r="BB93">
        <f t="shared" si="29"/>
        <v>8867861.29797591</v>
      </c>
      <c r="BC93">
        <f t="shared" si="21"/>
        <v>110848.266224699</v>
      </c>
      <c r="BD93">
        <f t="shared" si="22"/>
        <v>0.0125</v>
      </c>
      <c r="BG93">
        <f t="shared" si="30"/>
        <v>0</v>
      </c>
      <c r="BH93">
        <f t="shared" si="31"/>
        <v>7170079.31508434</v>
      </c>
      <c r="BI93">
        <f t="shared" si="23"/>
        <v>89625.9914385543</v>
      </c>
      <c r="BJ93">
        <f t="shared" si="24"/>
        <v>0.0125</v>
      </c>
    </row>
    <row r="94" spans="39:62">
      <c r="AM94">
        <v>67.81</v>
      </c>
      <c r="AN94">
        <f t="shared" si="25"/>
        <v>0</v>
      </c>
      <c r="AO94">
        <f t="shared" si="32"/>
        <v>0</v>
      </c>
      <c r="AP94">
        <f t="shared" si="33"/>
        <v>0</v>
      </c>
      <c r="AQ94">
        <f t="shared" si="37"/>
        <v>0</v>
      </c>
      <c r="AR94">
        <f t="shared" si="34"/>
        <v>7718359.29251081</v>
      </c>
      <c r="AS94">
        <f t="shared" si="26"/>
        <v>96479.4911563852</v>
      </c>
      <c r="AT94">
        <f t="shared" si="27"/>
        <v>0.0125</v>
      </c>
      <c r="AW94">
        <v>160.6</v>
      </c>
      <c r="AX94">
        <f t="shared" si="20"/>
        <v>0</v>
      </c>
      <c r="AY94">
        <f t="shared" si="28"/>
        <v>0</v>
      </c>
      <c r="AZ94">
        <f t="shared" si="35"/>
        <v>0</v>
      </c>
      <c r="BA94">
        <f t="shared" si="36"/>
        <v>0</v>
      </c>
      <c r="BB94">
        <f t="shared" si="29"/>
        <v>8867861.29797591</v>
      </c>
      <c r="BC94">
        <f t="shared" si="21"/>
        <v>110848.266224699</v>
      </c>
      <c r="BD94">
        <f t="shared" si="22"/>
        <v>0.0125</v>
      </c>
      <c r="BG94">
        <f t="shared" si="30"/>
        <v>0</v>
      </c>
      <c r="BH94">
        <f t="shared" si="31"/>
        <v>7170079.31508434</v>
      </c>
      <c r="BI94">
        <f t="shared" si="23"/>
        <v>89625.9914385543</v>
      </c>
      <c r="BJ94">
        <f t="shared" si="24"/>
        <v>0.0125</v>
      </c>
    </row>
    <row r="95" spans="39:62">
      <c r="AM95">
        <v>67.085</v>
      </c>
      <c r="AN95">
        <f t="shared" si="25"/>
        <v>0</v>
      </c>
      <c r="AO95">
        <f t="shared" si="32"/>
        <v>0</v>
      </c>
      <c r="AP95">
        <f t="shared" si="33"/>
        <v>0</v>
      </c>
      <c r="AQ95">
        <f t="shared" si="37"/>
        <v>0</v>
      </c>
      <c r="AR95">
        <f t="shared" si="34"/>
        <v>7718359.29251081</v>
      </c>
      <c r="AS95">
        <f t="shared" si="26"/>
        <v>96479.4911563852</v>
      </c>
      <c r="AT95">
        <f t="shared" si="27"/>
        <v>0.0125</v>
      </c>
      <c r="AW95">
        <v>160.42</v>
      </c>
      <c r="AX95">
        <f t="shared" si="20"/>
        <v>0</v>
      </c>
      <c r="AY95">
        <f t="shared" si="28"/>
        <v>0</v>
      </c>
      <c r="AZ95">
        <f t="shared" si="35"/>
        <v>0</v>
      </c>
      <c r="BA95">
        <f t="shared" si="36"/>
        <v>0</v>
      </c>
      <c r="BB95">
        <f t="shared" si="29"/>
        <v>8867861.29797591</v>
      </c>
      <c r="BC95">
        <f t="shared" si="21"/>
        <v>110848.266224699</v>
      </c>
      <c r="BD95">
        <f t="shared" si="22"/>
        <v>0.0125</v>
      </c>
      <c r="BG95">
        <f t="shared" si="30"/>
        <v>0</v>
      </c>
      <c r="BH95">
        <f t="shared" si="31"/>
        <v>7170079.31508434</v>
      </c>
      <c r="BI95">
        <f t="shared" si="23"/>
        <v>89625.9914385543</v>
      </c>
      <c r="BJ95">
        <f t="shared" si="24"/>
        <v>0.0125</v>
      </c>
    </row>
    <row r="96" spans="39:62">
      <c r="AM96">
        <v>66.49</v>
      </c>
      <c r="AN96">
        <f t="shared" si="25"/>
        <v>0</v>
      </c>
      <c r="AO96">
        <f t="shared" si="32"/>
        <v>0</v>
      </c>
      <c r="AP96">
        <f t="shared" si="33"/>
        <v>0</v>
      </c>
      <c r="AQ96">
        <f t="shared" si="37"/>
        <v>0</v>
      </c>
      <c r="AR96">
        <f t="shared" si="34"/>
        <v>7718359.29251081</v>
      </c>
      <c r="AS96">
        <f t="shared" si="26"/>
        <v>96479.4911563852</v>
      </c>
      <c r="AT96">
        <f t="shared" si="27"/>
        <v>0.0125</v>
      </c>
      <c r="AW96">
        <v>160.88</v>
      </c>
      <c r="AX96">
        <f t="shared" si="20"/>
        <v>0</v>
      </c>
      <c r="AY96">
        <f t="shared" si="28"/>
        <v>0</v>
      </c>
      <c r="AZ96">
        <f t="shared" si="35"/>
        <v>0</v>
      </c>
      <c r="BA96">
        <f t="shared" si="36"/>
        <v>0</v>
      </c>
      <c r="BB96">
        <f t="shared" si="29"/>
        <v>8867861.29797591</v>
      </c>
      <c r="BC96">
        <f t="shared" si="21"/>
        <v>110848.266224699</v>
      </c>
      <c r="BD96">
        <f t="shared" si="22"/>
        <v>0.0125</v>
      </c>
      <c r="BG96">
        <f t="shared" si="30"/>
        <v>0</v>
      </c>
      <c r="BH96">
        <f t="shared" si="31"/>
        <v>7170079.31508434</v>
      </c>
      <c r="BI96">
        <f t="shared" si="23"/>
        <v>89625.9914385543</v>
      </c>
      <c r="BJ96">
        <f t="shared" si="24"/>
        <v>0.0125</v>
      </c>
    </row>
    <row r="97" spans="39:62">
      <c r="AM97">
        <v>67.09</v>
      </c>
      <c r="AN97">
        <f t="shared" si="25"/>
        <v>0</v>
      </c>
      <c r="AO97">
        <f t="shared" si="32"/>
        <v>0</v>
      </c>
      <c r="AP97">
        <f t="shared" si="33"/>
        <v>0</v>
      </c>
      <c r="AQ97">
        <f t="shared" si="37"/>
        <v>0</v>
      </c>
      <c r="AR97">
        <f t="shared" si="34"/>
        <v>7718359.29251081</v>
      </c>
      <c r="AS97">
        <f t="shared" si="26"/>
        <v>96479.4911563852</v>
      </c>
      <c r="AT97">
        <f t="shared" si="27"/>
        <v>0.0125</v>
      </c>
      <c r="AW97">
        <v>160.51</v>
      </c>
      <c r="AX97">
        <f t="shared" si="20"/>
        <v>0</v>
      </c>
      <c r="AY97">
        <f t="shared" si="28"/>
        <v>0</v>
      </c>
      <c r="AZ97">
        <f t="shared" si="35"/>
        <v>0</v>
      </c>
      <c r="BA97">
        <f t="shared" si="36"/>
        <v>0</v>
      </c>
      <c r="BB97">
        <f t="shared" si="29"/>
        <v>8867861.29797591</v>
      </c>
      <c r="BC97">
        <f t="shared" si="21"/>
        <v>110848.266224699</v>
      </c>
      <c r="BD97">
        <f t="shared" si="22"/>
        <v>0.0125</v>
      </c>
      <c r="BG97">
        <f t="shared" si="30"/>
        <v>0</v>
      </c>
      <c r="BH97">
        <f t="shared" si="31"/>
        <v>7170079.31508434</v>
      </c>
      <c r="BI97">
        <f t="shared" si="23"/>
        <v>89625.9914385543</v>
      </c>
      <c r="BJ97">
        <f t="shared" si="24"/>
        <v>0.0125</v>
      </c>
    </row>
    <row r="98" spans="39:62">
      <c r="AM98">
        <v>66.67</v>
      </c>
      <c r="AN98">
        <f t="shared" si="25"/>
        <v>0</v>
      </c>
      <c r="AO98">
        <f t="shared" si="32"/>
        <v>0</v>
      </c>
      <c r="AP98">
        <f t="shared" si="33"/>
        <v>0</v>
      </c>
      <c r="AQ98">
        <f t="shared" si="37"/>
        <v>0</v>
      </c>
      <c r="AR98">
        <f t="shared" si="34"/>
        <v>7718359.29251081</v>
      </c>
      <c r="AS98">
        <f t="shared" si="26"/>
        <v>96479.4911563852</v>
      </c>
      <c r="AT98">
        <f t="shared" si="27"/>
        <v>0.0125</v>
      </c>
      <c r="AW98">
        <v>160.48</v>
      </c>
      <c r="AX98">
        <f t="shared" si="20"/>
        <v>0</v>
      </c>
      <c r="AY98">
        <f t="shared" si="28"/>
        <v>0</v>
      </c>
      <c r="AZ98">
        <f t="shared" si="35"/>
        <v>0</v>
      </c>
      <c r="BA98">
        <f t="shared" si="36"/>
        <v>0</v>
      </c>
      <c r="BB98">
        <f t="shared" si="29"/>
        <v>8867861.29797591</v>
      </c>
      <c r="BC98">
        <f t="shared" si="21"/>
        <v>110848.266224699</v>
      </c>
      <c r="BD98">
        <f t="shared" si="22"/>
        <v>0.0125</v>
      </c>
      <c r="BG98">
        <f t="shared" si="30"/>
        <v>0</v>
      </c>
      <c r="BH98">
        <f t="shared" si="31"/>
        <v>7170079.31508434</v>
      </c>
      <c r="BI98">
        <f t="shared" si="23"/>
        <v>89625.9914385543</v>
      </c>
      <c r="BJ98">
        <f t="shared" si="24"/>
        <v>0.0125</v>
      </c>
    </row>
    <row r="99" spans="39:62">
      <c r="AM99">
        <v>66.68</v>
      </c>
      <c r="AN99">
        <f t="shared" si="25"/>
        <v>0</v>
      </c>
      <c r="AO99">
        <f t="shared" si="32"/>
        <v>0</v>
      </c>
      <c r="AP99">
        <f t="shared" si="33"/>
        <v>0</v>
      </c>
      <c r="AQ99">
        <f t="shared" si="37"/>
        <v>0</v>
      </c>
      <c r="AR99">
        <f t="shared" si="34"/>
        <v>7718359.29251081</v>
      </c>
      <c r="AS99">
        <f t="shared" si="26"/>
        <v>96479.4911563852</v>
      </c>
      <c r="AT99">
        <f t="shared" si="27"/>
        <v>0.0125</v>
      </c>
      <c r="AW99">
        <v>161.06</v>
      </c>
      <c r="AX99">
        <f t="shared" si="20"/>
        <v>0</v>
      </c>
      <c r="AY99">
        <f t="shared" si="28"/>
        <v>0</v>
      </c>
      <c r="AZ99">
        <f t="shared" si="35"/>
        <v>0</v>
      </c>
      <c r="BA99">
        <f t="shared" si="36"/>
        <v>0</v>
      </c>
      <c r="BB99">
        <f t="shared" si="29"/>
        <v>8867861.29797591</v>
      </c>
      <c r="BC99">
        <f t="shared" si="21"/>
        <v>110848.266224699</v>
      </c>
      <c r="BD99">
        <f t="shared" si="22"/>
        <v>0.0125</v>
      </c>
      <c r="BG99">
        <f t="shared" si="30"/>
        <v>0</v>
      </c>
      <c r="BH99">
        <f t="shared" si="31"/>
        <v>7170079.31508434</v>
      </c>
      <c r="BI99">
        <f t="shared" si="23"/>
        <v>89625.9914385543</v>
      </c>
      <c r="BJ99">
        <f t="shared" si="24"/>
        <v>0.0125</v>
      </c>
    </row>
    <row r="100" spans="39:62">
      <c r="AM100">
        <v>66.21</v>
      </c>
      <c r="AN100">
        <f t="shared" si="25"/>
        <v>0</v>
      </c>
      <c r="AO100">
        <f t="shared" si="32"/>
        <v>0</v>
      </c>
      <c r="AP100">
        <f t="shared" si="33"/>
        <v>0</v>
      </c>
      <c r="AQ100">
        <f t="shared" si="37"/>
        <v>0</v>
      </c>
      <c r="AR100">
        <f t="shared" si="34"/>
        <v>7718359.29251081</v>
      </c>
      <c r="AS100">
        <f t="shared" si="26"/>
        <v>96479.4911563852</v>
      </c>
      <c r="AT100">
        <f t="shared" si="27"/>
        <v>0.0125</v>
      </c>
      <c r="AW100">
        <v>161.53</v>
      </c>
      <c r="AX100">
        <f t="shared" si="20"/>
        <v>0</v>
      </c>
      <c r="AY100">
        <f t="shared" si="28"/>
        <v>0</v>
      </c>
      <c r="AZ100">
        <f t="shared" si="35"/>
        <v>0</v>
      </c>
      <c r="BA100">
        <f t="shared" si="36"/>
        <v>0</v>
      </c>
      <c r="BB100">
        <f t="shared" si="29"/>
        <v>8867861.29797591</v>
      </c>
      <c r="BC100">
        <f t="shared" si="21"/>
        <v>110848.266224699</v>
      </c>
      <c r="BD100">
        <f t="shared" si="22"/>
        <v>0.0125</v>
      </c>
      <c r="BG100">
        <f t="shared" si="30"/>
        <v>0</v>
      </c>
      <c r="BH100">
        <f t="shared" si="31"/>
        <v>7170079.31508434</v>
      </c>
      <c r="BI100">
        <f t="shared" si="23"/>
        <v>89625.9914385543</v>
      </c>
      <c r="BJ100">
        <f t="shared" si="24"/>
        <v>0.0125</v>
      </c>
    </row>
    <row r="101" spans="39:62">
      <c r="AM101">
        <v>66.585</v>
      </c>
      <c r="AN101">
        <f t="shared" si="25"/>
        <v>0</v>
      </c>
      <c r="AO101">
        <f t="shared" si="32"/>
        <v>0</v>
      </c>
      <c r="AP101">
        <f t="shared" si="33"/>
        <v>0</v>
      </c>
      <c r="AQ101">
        <f t="shared" si="37"/>
        <v>0</v>
      </c>
      <c r="AR101">
        <f t="shared" si="34"/>
        <v>7718359.29251081</v>
      </c>
      <c r="AS101">
        <f t="shared" si="26"/>
        <v>96479.4911563852</v>
      </c>
      <c r="AT101">
        <f t="shared" si="27"/>
        <v>0.0125</v>
      </c>
      <c r="AW101">
        <v>161.3</v>
      </c>
      <c r="AX101">
        <f t="shared" si="20"/>
        <v>0</v>
      </c>
      <c r="AY101">
        <f t="shared" si="28"/>
        <v>0</v>
      </c>
      <c r="AZ101">
        <f t="shared" si="35"/>
        <v>0</v>
      </c>
      <c r="BA101">
        <f t="shared" si="36"/>
        <v>0</v>
      </c>
      <c r="BB101">
        <f t="shared" si="29"/>
        <v>8867861.29797591</v>
      </c>
      <c r="BC101">
        <f t="shared" si="21"/>
        <v>110848.266224699</v>
      </c>
      <c r="BD101">
        <f t="shared" si="22"/>
        <v>0.0125</v>
      </c>
      <c r="BG101">
        <f t="shared" si="30"/>
        <v>0</v>
      </c>
      <c r="BH101">
        <f t="shared" si="31"/>
        <v>7170079.31508434</v>
      </c>
      <c r="BI101">
        <f t="shared" si="23"/>
        <v>89625.9914385543</v>
      </c>
      <c r="BJ101">
        <f t="shared" si="24"/>
        <v>0.0125</v>
      </c>
    </row>
    <row r="102" spans="39:62">
      <c r="AM102">
        <v>66.585</v>
      </c>
      <c r="AN102">
        <f t="shared" si="25"/>
        <v>0</v>
      </c>
      <c r="AO102">
        <f t="shared" si="32"/>
        <v>0</v>
      </c>
      <c r="AP102">
        <f t="shared" si="33"/>
        <v>0</v>
      </c>
      <c r="AQ102">
        <f t="shared" si="37"/>
        <v>0</v>
      </c>
      <c r="AR102">
        <f t="shared" si="34"/>
        <v>7718359.29251081</v>
      </c>
      <c r="AS102">
        <f t="shared" si="26"/>
        <v>96479.4911563852</v>
      </c>
      <c r="AT102">
        <f t="shared" si="27"/>
        <v>0.0125</v>
      </c>
      <c r="AW102">
        <v>160.99</v>
      </c>
      <c r="AX102">
        <f t="shared" si="20"/>
        <v>0</v>
      </c>
      <c r="AY102">
        <f t="shared" si="28"/>
        <v>0</v>
      </c>
      <c r="AZ102">
        <f t="shared" si="35"/>
        <v>0</v>
      </c>
      <c r="BA102">
        <f t="shared" si="36"/>
        <v>0</v>
      </c>
      <c r="BB102">
        <f t="shared" si="29"/>
        <v>8867861.29797591</v>
      </c>
      <c r="BC102">
        <f t="shared" si="21"/>
        <v>110848.266224699</v>
      </c>
      <c r="BD102">
        <f t="shared" si="22"/>
        <v>0.0125</v>
      </c>
      <c r="BG102">
        <f t="shared" si="30"/>
        <v>0</v>
      </c>
      <c r="BH102">
        <f t="shared" si="31"/>
        <v>7170079.31508434</v>
      </c>
      <c r="BI102">
        <f t="shared" si="23"/>
        <v>89625.9914385543</v>
      </c>
      <c r="BJ102">
        <f t="shared" si="24"/>
        <v>0.0125</v>
      </c>
    </row>
    <row r="103" spans="39:62">
      <c r="AM103">
        <v>66.175</v>
      </c>
      <c r="AN103">
        <f t="shared" si="25"/>
        <v>0</v>
      </c>
      <c r="AO103">
        <f t="shared" si="32"/>
        <v>0</v>
      </c>
      <c r="AP103">
        <f t="shared" si="33"/>
        <v>0</v>
      </c>
      <c r="AQ103">
        <f t="shared" si="37"/>
        <v>0</v>
      </c>
      <c r="AR103">
        <f t="shared" si="34"/>
        <v>7718359.29251081</v>
      </c>
      <c r="AS103">
        <f t="shared" si="26"/>
        <v>96479.4911563852</v>
      </c>
      <c r="AT103">
        <f t="shared" si="27"/>
        <v>0.0125</v>
      </c>
      <c r="AW103">
        <v>160.87</v>
      </c>
      <c r="AX103">
        <f t="shared" si="20"/>
        <v>0</v>
      </c>
      <c r="AY103">
        <f t="shared" si="28"/>
        <v>0</v>
      </c>
      <c r="AZ103">
        <f t="shared" si="35"/>
        <v>0</v>
      </c>
      <c r="BA103">
        <f t="shared" si="36"/>
        <v>0</v>
      </c>
      <c r="BB103">
        <f t="shared" si="29"/>
        <v>8867861.29797591</v>
      </c>
      <c r="BC103">
        <f t="shared" si="21"/>
        <v>110848.266224699</v>
      </c>
      <c r="BD103">
        <f t="shared" si="22"/>
        <v>0.0125</v>
      </c>
      <c r="BG103">
        <f t="shared" si="30"/>
        <v>0</v>
      </c>
      <c r="BH103">
        <f t="shared" si="31"/>
        <v>7170079.31508434</v>
      </c>
      <c r="BI103">
        <f t="shared" si="23"/>
        <v>89625.9914385543</v>
      </c>
      <c r="BJ103">
        <f t="shared" si="24"/>
        <v>0.0125</v>
      </c>
    </row>
    <row r="104" spans="39:62">
      <c r="AM104">
        <v>65.415</v>
      </c>
      <c r="AN104">
        <f t="shared" si="25"/>
        <v>0</v>
      </c>
      <c r="AO104">
        <f t="shared" si="32"/>
        <v>0</v>
      </c>
      <c r="AP104">
        <f t="shared" si="33"/>
        <v>0</v>
      </c>
      <c r="AQ104">
        <f t="shared" si="37"/>
        <v>0</v>
      </c>
      <c r="AR104">
        <f t="shared" si="34"/>
        <v>7718359.29251081</v>
      </c>
      <c r="AS104">
        <f t="shared" si="26"/>
        <v>96479.4911563852</v>
      </c>
      <c r="AT104">
        <f t="shared" si="27"/>
        <v>0.0125</v>
      </c>
      <c r="AW104">
        <v>160.8</v>
      </c>
      <c r="AX104">
        <f t="shared" si="20"/>
        <v>0</v>
      </c>
      <c r="AY104">
        <f t="shared" si="28"/>
        <v>0</v>
      </c>
      <c r="AZ104">
        <f t="shared" si="35"/>
        <v>0</v>
      </c>
      <c r="BA104">
        <f t="shared" si="36"/>
        <v>0</v>
      </c>
      <c r="BB104">
        <f t="shared" si="29"/>
        <v>8867861.29797591</v>
      </c>
      <c r="BC104">
        <f t="shared" si="21"/>
        <v>110848.266224699</v>
      </c>
      <c r="BD104">
        <f t="shared" si="22"/>
        <v>0.0125</v>
      </c>
      <c r="BG104">
        <f t="shared" si="30"/>
        <v>0</v>
      </c>
      <c r="BH104">
        <f t="shared" si="31"/>
        <v>7170079.31508434</v>
      </c>
      <c r="BI104">
        <f t="shared" si="23"/>
        <v>89625.9914385543</v>
      </c>
      <c r="BJ104">
        <f t="shared" si="24"/>
        <v>0.0125</v>
      </c>
    </row>
    <row r="105" spans="39:62">
      <c r="AM105">
        <v>65.09</v>
      </c>
      <c r="AN105">
        <f t="shared" si="25"/>
        <v>0</v>
      </c>
      <c r="AO105">
        <f t="shared" si="32"/>
        <v>0</v>
      </c>
      <c r="AP105">
        <f t="shared" si="33"/>
        <v>0</v>
      </c>
      <c r="AQ105">
        <f t="shared" si="37"/>
        <v>0</v>
      </c>
      <c r="AR105">
        <f t="shared" si="34"/>
        <v>7718359.29251081</v>
      </c>
      <c r="AS105">
        <f t="shared" si="26"/>
        <v>96479.4911563852</v>
      </c>
      <c r="AT105">
        <f t="shared" si="27"/>
        <v>0.0125</v>
      </c>
      <c r="AW105">
        <v>161.31</v>
      </c>
      <c r="AX105">
        <f t="shared" si="20"/>
        <v>0</v>
      </c>
      <c r="AY105">
        <f t="shared" si="28"/>
        <v>0</v>
      </c>
      <c r="AZ105">
        <f t="shared" si="35"/>
        <v>0</v>
      </c>
      <c r="BA105">
        <f t="shared" si="36"/>
        <v>0</v>
      </c>
      <c r="BB105">
        <f t="shared" si="29"/>
        <v>8867861.29797591</v>
      </c>
      <c r="BC105">
        <f t="shared" si="21"/>
        <v>110848.266224699</v>
      </c>
      <c r="BD105">
        <f t="shared" si="22"/>
        <v>0.0125</v>
      </c>
      <c r="BG105">
        <f t="shared" si="30"/>
        <v>0</v>
      </c>
      <c r="BH105">
        <f t="shared" si="31"/>
        <v>7170079.31508434</v>
      </c>
      <c r="BI105">
        <f t="shared" si="23"/>
        <v>89625.9914385543</v>
      </c>
      <c r="BJ105">
        <f t="shared" si="24"/>
        <v>0.0125</v>
      </c>
    </row>
    <row r="106" spans="39:62">
      <c r="AM106">
        <v>65.09</v>
      </c>
      <c r="AN106">
        <f t="shared" si="25"/>
        <v>0</v>
      </c>
      <c r="AO106">
        <f t="shared" si="32"/>
        <v>0</v>
      </c>
      <c r="AP106">
        <f t="shared" si="33"/>
        <v>0</v>
      </c>
      <c r="AQ106">
        <f t="shared" si="37"/>
        <v>0</v>
      </c>
      <c r="AR106">
        <f t="shared" si="34"/>
        <v>7718359.29251081</v>
      </c>
      <c r="AS106">
        <f t="shared" si="26"/>
        <v>96479.4911563852</v>
      </c>
      <c r="AT106">
        <f t="shared" si="27"/>
        <v>0.0125</v>
      </c>
      <c r="AW106">
        <v>161.79</v>
      </c>
      <c r="AX106">
        <f t="shared" si="20"/>
        <v>0</v>
      </c>
      <c r="AY106">
        <f t="shared" si="28"/>
        <v>0</v>
      </c>
      <c r="AZ106">
        <f t="shared" si="35"/>
        <v>0</v>
      </c>
      <c r="BA106">
        <f t="shared" si="36"/>
        <v>0</v>
      </c>
      <c r="BB106">
        <f t="shared" si="29"/>
        <v>8867861.29797591</v>
      </c>
      <c r="BC106">
        <f t="shared" si="21"/>
        <v>110848.266224699</v>
      </c>
      <c r="BD106">
        <f t="shared" si="22"/>
        <v>0.0125</v>
      </c>
      <c r="BG106">
        <f t="shared" si="30"/>
        <v>0</v>
      </c>
      <c r="BH106">
        <f t="shared" si="31"/>
        <v>7170079.31508434</v>
      </c>
      <c r="BI106">
        <f t="shared" si="23"/>
        <v>89625.9914385543</v>
      </c>
      <c r="BJ106">
        <f t="shared" si="24"/>
        <v>0.0125</v>
      </c>
    </row>
    <row r="107" spans="39:62">
      <c r="AM107">
        <v>65.25</v>
      </c>
      <c r="AN107">
        <f t="shared" si="25"/>
        <v>0</v>
      </c>
      <c r="AO107">
        <f t="shared" si="32"/>
        <v>0</v>
      </c>
      <c r="AP107">
        <f t="shared" si="33"/>
        <v>0</v>
      </c>
      <c r="AQ107">
        <f t="shared" si="37"/>
        <v>0</v>
      </c>
      <c r="AR107">
        <f t="shared" si="34"/>
        <v>7718359.29251081</v>
      </c>
      <c r="AS107">
        <f t="shared" si="26"/>
        <v>96479.4911563852</v>
      </c>
      <c r="AT107">
        <f t="shared" si="27"/>
        <v>0.0125</v>
      </c>
      <c r="AW107">
        <v>162.28</v>
      </c>
      <c r="AX107">
        <f t="shared" si="20"/>
        <v>0</v>
      </c>
      <c r="AY107">
        <f t="shared" si="28"/>
        <v>0</v>
      </c>
      <c r="AZ107">
        <f t="shared" si="35"/>
        <v>0</v>
      </c>
      <c r="BA107">
        <f t="shared" si="36"/>
        <v>0</v>
      </c>
      <c r="BB107">
        <f t="shared" si="29"/>
        <v>8867861.29797591</v>
      </c>
      <c r="BC107">
        <f t="shared" si="21"/>
        <v>110848.266224699</v>
      </c>
      <c r="BD107">
        <f t="shared" si="22"/>
        <v>0.0125</v>
      </c>
      <c r="BG107">
        <f t="shared" si="30"/>
        <v>0</v>
      </c>
      <c r="BH107">
        <f t="shared" si="31"/>
        <v>7170079.31508434</v>
      </c>
      <c r="BI107">
        <f t="shared" si="23"/>
        <v>89625.9914385543</v>
      </c>
      <c r="BJ107">
        <f t="shared" si="24"/>
        <v>0.0125</v>
      </c>
    </row>
    <row r="108" spans="39:62">
      <c r="AM108">
        <v>65.16</v>
      </c>
      <c r="AN108">
        <f t="shared" si="25"/>
        <v>0</v>
      </c>
      <c r="AO108">
        <f t="shared" si="32"/>
        <v>0</v>
      </c>
      <c r="AP108">
        <f t="shared" si="33"/>
        <v>0</v>
      </c>
      <c r="AQ108">
        <f t="shared" si="37"/>
        <v>0</v>
      </c>
      <c r="AR108">
        <f t="shared" si="34"/>
        <v>7718359.29251081</v>
      </c>
      <c r="AS108">
        <f t="shared" si="26"/>
        <v>96479.4911563852</v>
      </c>
      <c r="AT108">
        <f t="shared" si="27"/>
        <v>0.0125</v>
      </c>
      <c r="AW108">
        <v>162.33</v>
      </c>
      <c r="AX108">
        <f t="shared" si="20"/>
        <v>0</v>
      </c>
      <c r="AY108">
        <f t="shared" si="28"/>
        <v>0</v>
      </c>
      <c r="AZ108">
        <f t="shared" si="35"/>
        <v>0</v>
      </c>
      <c r="BA108">
        <f t="shared" si="36"/>
        <v>0</v>
      </c>
      <c r="BB108">
        <f t="shared" si="29"/>
        <v>8867861.29797591</v>
      </c>
      <c r="BC108">
        <f t="shared" si="21"/>
        <v>110848.266224699</v>
      </c>
      <c r="BD108">
        <f t="shared" si="22"/>
        <v>0.0125</v>
      </c>
      <c r="BG108">
        <f t="shared" si="30"/>
        <v>0</v>
      </c>
      <c r="BH108">
        <f t="shared" si="31"/>
        <v>7170079.31508434</v>
      </c>
      <c r="BI108">
        <f t="shared" si="23"/>
        <v>89625.9914385543</v>
      </c>
      <c r="BJ108">
        <f t="shared" si="24"/>
        <v>0.0125</v>
      </c>
    </row>
    <row r="109" spans="39:62">
      <c r="AM109">
        <v>64.975</v>
      </c>
      <c r="AN109">
        <f t="shared" si="25"/>
        <v>0</v>
      </c>
      <c r="AO109">
        <f t="shared" si="32"/>
        <v>0</v>
      </c>
      <c r="AP109">
        <f t="shared" si="33"/>
        <v>0</v>
      </c>
      <c r="AQ109">
        <f t="shared" si="37"/>
        <v>0</v>
      </c>
      <c r="AR109">
        <f t="shared" si="34"/>
        <v>7718359.29251081</v>
      </c>
      <c r="AS109">
        <f t="shared" si="26"/>
        <v>96479.4911563852</v>
      </c>
      <c r="AT109">
        <f t="shared" si="27"/>
        <v>0.0125</v>
      </c>
      <c r="AW109">
        <v>162.32</v>
      </c>
      <c r="AX109">
        <f t="shared" si="20"/>
        <v>0</v>
      </c>
      <c r="AY109">
        <f t="shared" si="28"/>
        <v>0</v>
      </c>
      <c r="AZ109">
        <f t="shared" si="35"/>
        <v>0</v>
      </c>
      <c r="BA109">
        <f t="shared" si="36"/>
        <v>0</v>
      </c>
      <c r="BB109">
        <f t="shared" si="29"/>
        <v>8867861.29797591</v>
      </c>
      <c r="BC109">
        <f t="shared" si="21"/>
        <v>110848.266224699</v>
      </c>
      <c r="BD109">
        <f t="shared" si="22"/>
        <v>0.0125</v>
      </c>
      <c r="BG109">
        <f t="shared" si="30"/>
        <v>0</v>
      </c>
      <c r="BH109">
        <f t="shared" si="31"/>
        <v>7170079.31508434</v>
      </c>
      <c r="BI109">
        <f t="shared" si="23"/>
        <v>89625.9914385543</v>
      </c>
      <c r="BJ109">
        <f t="shared" si="24"/>
        <v>0.0125</v>
      </c>
    </row>
    <row r="110" spans="39:62">
      <c r="AM110">
        <v>65.77</v>
      </c>
      <c r="AN110">
        <f t="shared" si="25"/>
        <v>0</v>
      </c>
      <c r="AO110">
        <f t="shared" si="32"/>
        <v>0</v>
      </c>
      <c r="AP110">
        <f t="shared" si="33"/>
        <v>0</v>
      </c>
      <c r="AQ110">
        <f t="shared" si="37"/>
        <v>0</v>
      </c>
      <c r="AR110">
        <f t="shared" si="34"/>
        <v>7718359.29251081</v>
      </c>
      <c r="AS110">
        <f t="shared" si="26"/>
        <v>96479.4911563852</v>
      </c>
      <c r="AT110">
        <f t="shared" si="27"/>
        <v>0.0125</v>
      </c>
      <c r="AW110">
        <v>162.28</v>
      </c>
      <c r="AX110">
        <f t="shared" si="20"/>
        <v>0</v>
      </c>
      <c r="AY110">
        <f t="shared" si="28"/>
        <v>0</v>
      </c>
      <c r="AZ110">
        <f t="shared" si="35"/>
        <v>0</v>
      </c>
      <c r="BA110">
        <f t="shared" si="36"/>
        <v>0</v>
      </c>
      <c r="BB110">
        <f t="shared" si="29"/>
        <v>8867861.29797591</v>
      </c>
      <c r="BC110">
        <f t="shared" si="21"/>
        <v>110848.266224699</v>
      </c>
      <c r="BD110">
        <f t="shared" si="22"/>
        <v>0.0125</v>
      </c>
      <c r="BG110">
        <f t="shared" si="30"/>
        <v>0</v>
      </c>
      <c r="BH110">
        <f t="shared" si="31"/>
        <v>7170079.31508434</v>
      </c>
      <c r="BI110">
        <f t="shared" si="23"/>
        <v>89625.9914385543</v>
      </c>
      <c r="BJ110">
        <f t="shared" si="24"/>
        <v>0.0125</v>
      </c>
    </row>
    <row r="111" spans="39:62">
      <c r="AM111">
        <v>66.155</v>
      </c>
      <c r="AN111">
        <f t="shared" si="25"/>
        <v>0</v>
      </c>
      <c r="AO111">
        <f t="shared" si="32"/>
        <v>0</v>
      </c>
      <c r="AP111">
        <f t="shared" si="33"/>
        <v>0</v>
      </c>
      <c r="AQ111">
        <f t="shared" si="37"/>
        <v>0</v>
      </c>
      <c r="AR111">
        <f t="shared" si="34"/>
        <v>7718359.29251081</v>
      </c>
      <c r="AS111">
        <f t="shared" si="26"/>
        <v>96479.4911563852</v>
      </c>
      <c r="AT111">
        <f t="shared" si="27"/>
        <v>0.0125</v>
      </c>
      <c r="AW111">
        <v>162.69</v>
      </c>
      <c r="AX111">
        <f t="shared" si="20"/>
        <v>0</v>
      </c>
      <c r="AY111">
        <f t="shared" si="28"/>
        <v>0</v>
      </c>
      <c r="AZ111">
        <f t="shared" si="35"/>
        <v>0</v>
      </c>
      <c r="BA111">
        <f t="shared" si="36"/>
        <v>0</v>
      </c>
      <c r="BB111">
        <f t="shared" si="29"/>
        <v>8867861.29797591</v>
      </c>
      <c r="BC111">
        <f t="shared" si="21"/>
        <v>110848.266224699</v>
      </c>
      <c r="BD111">
        <f t="shared" si="22"/>
        <v>0.0125</v>
      </c>
      <c r="BG111">
        <f t="shared" si="30"/>
        <v>0</v>
      </c>
      <c r="BH111">
        <f t="shared" si="31"/>
        <v>7170079.31508434</v>
      </c>
      <c r="BI111">
        <f t="shared" si="23"/>
        <v>89625.9914385543</v>
      </c>
      <c r="BJ111">
        <f t="shared" si="24"/>
        <v>0.0125</v>
      </c>
    </row>
    <row r="112" spans="39:62">
      <c r="AM112">
        <v>66.2</v>
      </c>
      <c r="AN112">
        <f t="shared" si="25"/>
        <v>0</v>
      </c>
      <c r="AO112">
        <f t="shared" si="32"/>
        <v>0</v>
      </c>
      <c r="AP112">
        <f t="shared" si="33"/>
        <v>0</v>
      </c>
      <c r="AQ112">
        <f t="shared" si="37"/>
        <v>0</v>
      </c>
      <c r="AR112">
        <f t="shared" si="34"/>
        <v>7718359.29251081</v>
      </c>
      <c r="AS112">
        <f t="shared" si="26"/>
        <v>96479.4911563852</v>
      </c>
      <c r="AT112">
        <f t="shared" si="27"/>
        <v>0.0125</v>
      </c>
      <c r="AW112">
        <v>164.49</v>
      </c>
      <c r="AX112">
        <f t="shared" si="20"/>
        <v>0</v>
      </c>
      <c r="AY112">
        <f t="shared" si="28"/>
        <v>0</v>
      </c>
      <c r="AZ112">
        <f t="shared" si="35"/>
        <v>0</v>
      </c>
      <c r="BA112">
        <f t="shared" si="36"/>
        <v>0</v>
      </c>
      <c r="BB112">
        <f t="shared" si="29"/>
        <v>8867861.29797591</v>
      </c>
      <c r="BC112">
        <f t="shared" si="21"/>
        <v>110848.266224699</v>
      </c>
      <c r="BD112">
        <f t="shared" si="22"/>
        <v>0.0125</v>
      </c>
      <c r="BG112">
        <f t="shared" si="30"/>
        <v>0</v>
      </c>
      <c r="BH112">
        <f t="shared" si="31"/>
        <v>7170079.31508434</v>
      </c>
      <c r="BI112">
        <f t="shared" si="23"/>
        <v>89625.9914385543</v>
      </c>
      <c r="BJ112">
        <f t="shared" si="24"/>
        <v>0.0125</v>
      </c>
    </row>
    <row r="113" spans="39:62">
      <c r="AM113">
        <v>66.765</v>
      </c>
      <c r="AN113">
        <f t="shared" si="25"/>
        <v>0</v>
      </c>
      <c r="AO113">
        <f t="shared" si="32"/>
        <v>0</v>
      </c>
      <c r="AP113">
        <f t="shared" si="33"/>
        <v>0</v>
      </c>
      <c r="AQ113">
        <f t="shared" si="37"/>
        <v>0</v>
      </c>
      <c r="AR113">
        <f t="shared" si="34"/>
        <v>7718359.29251081</v>
      </c>
      <c r="AS113">
        <f t="shared" si="26"/>
        <v>96479.4911563852</v>
      </c>
      <c r="AT113">
        <f t="shared" si="27"/>
        <v>0.0125</v>
      </c>
      <c r="AW113">
        <v>164.93</v>
      </c>
      <c r="AX113">
        <f t="shared" si="20"/>
        <v>0</v>
      </c>
      <c r="AY113">
        <f t="shared" si="28"/>
        <v>0</v>
      </c>
      <c r="AZ113">
        <f t="shared" si="35"/>
        <v>0</v>
      </c>
      <c r="BA113">
        <f t="shared" si="36"/>
        <v>0</v>
      </c>
      <c r="BB113">
        <f t="shared" si="29"/>
        <v>8867861.29797591</v>
      </c>
      <c r="BC113">
        <f t="shared" si="21"/>
        <v>110848.266224699</v>
      </c>
      <c r="BD113">
        <f t="shared" si="22"/>
        <v>0.0125</v>
      </c>
      <c r="BG113">
        <f t="shared" si="30"/>
        <v>0</v>
      </c>
      <c r="BH113">
        <f t="shared" si="31"/>
        <v>7170079.31508434</v>
      </c>
      <c r="BI113">
        <f t="shared" si="23"/>
        <v>89625.9914385543</v>
      </c>
      <c r="BJ113">
        <f t="shared" si="24"/>
        <v>0.0125</v>
      </c>
    </row>
    <row r="114" spans="39:62">
      <c r="AM114">
        <v>66.575</v>
      </c>
      <c r="AN114">
        <f t="shared" si="25"/>
        <v>0</v>
      </c>
      <c r="AO114">
        <f t="shared" si="32"/>
        <v>0</v>
      </c>
      <c r="AP114">
        <f t="shared" si="33"/>
        <v>0</v>
      </c>
      <c r="AQ114">
        <f t="shared" si="37"/>
        <v>0</v>
      </c>
      <c r="AR114">
        <f t="shared" si="34"/>
        <v>7718359.29251081</v>
      </c>
      <c r="AS114">
        <f t="shared" si="26"/>
        <v>96479.4911563852</v>
      </c>
      <c r="AT114">
        <f t="shared" si="27"/>
        <v>0.0125</v>
      </c>
      <c r="AW114">
        <v>165</v>
      </c>
      <c r="AX114">
        <f t="shared" si="20"/>
        <v>0</v>
      </c>
      <c r="AY114">
        <f t="shared" si="28"/>
        <v>0</v>
      </c>
      <c r="AZ114">
        <f t="shared" si="35"/>
        <v>0</v>
      </c>
      <c r="BA114">
        <f t="shared" si="36"/>
        <v>0</v>
      </c>
      <c r="BB114">
        <f t="shared" si="29"/>
        <v>8867861.29797591</v>
      </c>
      <c r="BC114">
        <f t="shared" si="21"/>
        <v>110848.266224699</v>
      </c>
      <c r="BD114">
        <f t="shared" si="22"/>
        <v>0.0125</v>
      </c>
      <c r="BG114">
        <f t="shared" si="30"/>
        <v>0</v>
      </c>
      <c r="BH114">
        <f t="shared" si="31"/>
        <v>7170079.31508434</v>
      </c>
      <c r="BI114">
        <f t="shared" si="23"/>
        <v>89625.9914385543</v>
      </c>
      <c r="BJ114">
        <f t="shared" si="24"/>
        <v>0.0125</v>
      </c>
    </row>
    <row r="115" spans="39:62">
      <c r="AM115">
        <v>67.165</v>
      </c>
      <c r="AN115">
        <f t="shared" si="25"/>
        <v>0</v>
      </c>
      <c r="AO115">
        <f t="shared" si="32"/>
        <v>0</v>
      </c>
      <c r="AP115">
        <f t="shared" si="33"/>
        <v>0</v>
      </c>
      <c r="AQ115">
        <f t="shared" si="37"/>
        <v>0</v>
      </c>
      <c r="AR115">
        <f t="shared" si="34"/>
        <v>7718359.29251081</v>
      </c>
      <c r="AS115">
        <f t="shared" si="26"/>
        <v>96479.4911563852</v>
      </c>
      <c r="AT115">
        <f t="shared" si="27"/>
        <v>0.0125</v>
      </c>
      <c r="AW115">
        <v>164.97</v>
      </c>
      <c r="AX115">
        <f t="shared" si="20"/>
        <v>0</v>
      </c>
      <c r="AY115">
        <f t="shared" si="28"/>
        <v>0</v>
      </c>
      <c r="AZ115">
        <f t="shared" si="35"/>
        <v>0</v>
      </c>
      <c r="BA115">
        <f t="shared" si="36"/>
        <v>0</v>
      </c>
      <c r="BB115">
        <f t="shared" si="29"/>
        <v>8867861.29797591</v>
      </c>
      <c r="BC115">
        <f t="shared" si="21"/>
        <v>110848.266224699</v>
      </c>
      <c r="BD115">
        <f t="shared" si="22"/>
        <v>0.0125</v>
      </c>
      <c r="BG115">
        <f t="shared" si="30"/>
        <v>0</v>
      </c>
      <c r="BH115">
        <f t="shared" si="31"/>
        <v>7170079.31508434</v>
      </c>
      <c r="BI115">
        <f t="shared" si="23"/>
        <v>89625.9914385543</v>
      </c>
      <c r="BJ115">
        <f t="shared" si="24"/>
        <v>0.0125</v>
      </c>
    </row>
    <row r="116" spans="39:62">
      <c r="AM116">
        <v>67.41</v>
      </c>
      <c r="AN116">
        <f t="shared" si="25"/>
        <v>0</v>
      </c>
      <c r="AO116">
        <f t="shared" si="32"/>
        <v>0</v>
      </c>
      <c r="AP116">
        <f t="shared" si="33"/>
        <v>0</v>
      </c>
      <c r="AQ116">
        <f t="shared" si="37"/>
        <v>0</v>
      </c>
      <c r="AR116">
        <f t="shared" si="34"/>
        <v>7718359.29251081</v>
      </c>
      <c r="AS116">
        <f t="shared" si="26"/>
        <v>96479.4911563852</v>
      </c>
      <c r="AT116">
        <f t="shared" si="27"/>
        <v>0.0125</v>
      </c>
      <c r="AW116">
        <v>164.87</v>
      </c>
      <c r="AX116">
        <f t="shared" si="20"/>
        <v>0</v>
      </c>
      <c r="AY116">
        <f t="shared" si="28"/>
        <v>0</v>
      </c>
      <c r="AZ116">
        <f t="shared" si="35"/>
        <v>0</v>
      </c>
      <c r="BA116">
        <f t="shared" si="36"/>
        <v>0</v>
      </c>
      <c r="BB116">
        <f t="shared" si="29"/>
        <v>8867861.29797591</v>
      </c>
      <c r="BC116">
        <f t="shared" si="21"/>
        <v>110848.266224699</v>
      </c>
      <c r="BD116">
        <f t="shared" si="22"/>
        <v>0.0125</v>
      </c>
      <c r="BG116">
        <f t="shared" si="30"/>
        <v>0</v>
      </c>
      <c r="BH116">
        <f t="shared" si="31"/>
        <v>7170079.31508434</v>
      </c>
      <c r="BI116">
        <f t="shared" si="23"/>
        <v>89625.9914385543</v>
      </c>
      <c r="BJ116">
        <f t="shared" si="24"/>
        <v>0.0125</v>
      </c>
    </row>
    <row r="117" spans="39:62">
      <c r="AM117">
        <v>67.535</v>
      </c>
      <c r="AN117">
        <f t="shared" si="25"/>
        <v>0</v>
      </c>
      <c r="AO117">
        <f t="shared" si="32"/>
        <v>0</v>
      </c>
      <c r="AP117">
        <f t="shared" si="33"/>
        <v>0</v>
      </c>
      <c r="AQ117">
        <f t="shared" si="37"/>
        <v>0</v>
      </c>
      <c r="AR117">
        <f t="shared" si="34"/>
        <v>7718359.29251081</v>
      </c>
      <c r="AS117">
        <f t="shared" si="26"/>
        <v>96479.4911563852</v>
      </c>
      <c r="AT117">
        <f t="shared" si="27"/>
        <v>0.0125</v>
      </c>
      <c r="AW117">
        <v>165.1</v>
      </c>
      <c r="AX117">
        <f t="shared" si="20"/>
        <v>0</v>
      </c>
      <c r="AY117">
        <f t="shared" si="28"/>
        <v>0</v>
      </c>
      <c r="AZ117">
        <f t="shared" si="35"/>
        <v>0</v>
      </c>
      <c r="BA117">
        <f t="shared" si="36"/>
        <v>0</v>
      </c>
      <c r="BB117">
        <f t="shared" si="29"/>
        <v>8867861.29797591</v>
      </c>
      <c r="BC117">
        <f t="shared" si="21"/>
        <v>110848.266224699</v>
      </c>
      <c r="BD117">
        <f t="shared" si="22"/>
        <v>0.0125</v>
      </c>
      <c r="BG117">
        <f t="shared" si="30"/>
        <v>0</v>
      </c>
      <c r="BH117">
        <f t="shared" si="31"/>
        <v>7170079.31508434</v>
      </c>
      <c r="BI117">
        <f t="shared" si="23"/>
        <v>89625.9914385543</v>
      </c>
      <c r="BJ117">
        <f t="shared" si="24"/>
        <v>0.0125</v>
      </c>
    </row>
    <row r="118" spans="39:62">
      <c r="AM118">
        <v>67.64</v>
      </c>
      <c r="AN118">
        <f t="shared" si="25"/>
        <v>0</v>
      </c>
      <c r="AO118">
        <f t="shared" si="32"/>
        <v>0</v>
      </c>
      <c r="AP118">
        <f t="shared" si="33"/>
        <v>0</v>
      </c>
      <c r="AQ118">
        <f t="shared" si="37"/>
        <v>0</v>
      </c>
      <c r="AR118">
        <f t="shared" si="34"/>
        <v>7718359.29251081</v>
      </c>
      <c r="AS118">
        <f t="shared" si="26"/>
        <v>96479.4911563852</v>
      </c>
      <c r="AT118">
        <f t="shared" si="27"/>
        <v>0.0125</v>
      </c>
      <c r="AW118">
        <v>164.93</v>
      </c>
      <c r="AX118">
        <f t="shared" si="20"/>
        <v>0</v>
      </c>
      <c r="AY118">
        <f t="shared" si="28"/>
        <v>0</v>
      </c>
      <c r="AZ118">
        <f t="shared" si="35"/>
        <v>0</v>
      </c>
      <c r="BA118">
        <f t="shared" si="36"/>
        <v>0</v>
      </c>
      <c r="BB118">
        <f t="shared" si="29"/>
        <v>8867861.29797591</v>
      </c>
      <c r="BC118">
        <f t="shared" si="21"/>
        <v>110848.266224699</v>
      </c>
      <c r="BD118">
        <f t="shared" si="22"/>
        <v>0.0125</v>
      </c>
      <c r="BG118">
        <f t="shared" si="30"/>
        <v>0</v>
      </c>
      <c r="BH118">
        <f t="shared" si="31"/>
        <v>7170079.31508434</v>
      </c>
      <c r="BI118">
        <f t="shared" si="23"/>
        <v>89625.9914385543</v>
      </c>
      <c r="BJ118">
        <f t="shared" si="24"/>
        <v>0.0125</v>
      </c>
    </row>
    <row r="119" spans="39:62">
      <c r="AM119">
        <v>68.205</v>
      </c>
      <c r="AN119">
        <f t="shared" si="25"/>
        <v>0</v>
      </c>
      <c r="AO119">
        <f t="shared" si="32"/>
        <v>0</v>
      </c>
      <c r="AP119">
        <f t="shared" si="33"/>
        <v>0</v>
      </c>
      <c r="AQ119">
        <f t="shared" si="37"/>
        <v>0</v>
      </c>
      <c r="AR119">
        <f t="shared" si="34"/>
        <v>7718359.29251081</v>
      </c>
      <c r="AS119">
        <f t="shared" si="26"/>
        <v>96479.4911563852</v>
      </c>
      <c r="AT119">
        <f t="shared" si="27"/>
        <v>0.0125</v>
      </c>
      <c r="AW119">
        <v>165.46</v>
      </c>
      <c r="AX119">
        <f t="shared" si="20"/>
        <v>0</v>
      </c>
      <c r="AY119">
        <f t="shared" si="28"/>
        <v>0</v>
      </c>
      <c r="AZ119">
        <f t="shared" si="35"/>
        <v>0</v>
      </c>
      <c r="BA119">
        <f t="shared" si="36"/>
        <v>0</v>
      </c>
      <c r="BB119">
        <f t="shared" si="29"/>
        <v>8867861.29797591</v>
      </c>
      <c r="BC119">
        <f t="shared" si="21"/>
        <v>110848.266224699</v>
      </c>
      <c r="BD119">
        <f t="shared" si="22"/>
        <v>0.0125</v>
      </c>
      <c r="BG119">
        <f t="shared" si="30"/>
        <v>0</v>
      </c>
      <c r="BH119">
        <f t="shared" si="31"/>
        <v>7170079.31508434</v>
      </c>
      <c r="BI119">
        <f t="shared" si="23"/>
        <v>89625.9914385543</v>
      </c>
      <c r="BJ119">
        <f t="shared" si="24"/>
        <v>0.0125</v>
      </c>
    </row>
    <row r="120" spans="39:62">
      <c r="AM120">
        <v>69.065</v>
      </c>
      <c r="AN120">
        <f t="shared" si="25"/>
        <v>0</v>
      </c>
      <c r="AO120">
        <f t="shared" si="32"/>
        <v>0</v>
      </c>
      <c r="AP120">
        <f t="shared" si="33"/>
        <v>0</v>
      </c>
      <c r="AQ120">
        <f t="shared" si="37"/>
        <v>0</v>
      </c>
      <c r="AR120">
        <f t="shared" si="34"/>
        <v>7718359.29251081</v>
      </c>
      <c r="AS120">
        <f t="shared" si="26"/>
        <v>96479.4911563852</v>
      </c>
      <c r="AT120">
        <f t="shared" si="27"/>
        <v>0.0125</v>
      </c>
      <c r="AW120">
        <v>164.59</v>
      </c>
      <c r="AX120">
        <f t="shared" si="20"/>
        <v>0</v>
      </c>
      <c r="AY120">
        <f t="shared" si="28"/>
        <v>0</v>
      </c>
      <c r="AZ120">
        <f t="shared" si="35"/>
        <v>0</v>
      </c>
      <c r="BA120">
        <f t="shared" si="36"/>
        <v>0</v>
      </c>
      <c r="BB120">
        <f t="shared" si="29"/>
        <v>8867861.29797591</v>
      </c>
      <c r="BC120">
        <f t="shared" si="21"/>
        <v>110848.266224699</v>
      </c>
      <c r="BD120">
        <f t="shared" si="22"/>
        <v>0.0125</v>
      </c>
      <c r="BG120">
        <f t="shared" si="30"/>
        <v>0</v>
      </c>
      <c r="BH120">
        <f t="shared" si="31"/>
        <v>7170079.31508434</v>
      </c>
      <c r="BI120">
        <f t="shared" si="23"/>
        <v>89625.9914385543</v>
      </c>
      <c r="BJ120">
        <f t="shared" si="24"/>
        <v>0.0125</v>
      </c>
    </row>
    <row r="121" spans="39:62">
      <c r="AM121">
        <v>69.065</v>
      </c>
      <c r="AN121">
        <f t="shared" si="25"/>
        <v>0</v>
      </c>
      <c r="AO121">
        <f t="shared" si="32"/>
        <v>0</v>
      </c>
      <c r="AP121">
        <f t="shared" si="33"/>
        <v>0</v>
      </c>
      <c r="AQ121">
        <f t="shared" si="37"/>
        <v>0</v>
      </c>
      <c r="AR121">
        <f t="shared" si="34"/>
        <v>7718359.29251081</v>
      </c>
      <c r="AS121">
        <f t="shared" si="26"/>
        <v>96479.4911563852</v>
      </c>
      <c r="AT121">
        <f t="shared" si="27"/>
        <v>0.0125</v>
      </c>
      <c r="AW121">
        <v>164.73</v>
      </c>
      <c r="AX121">
        <f t="shared" si="20"/>
        <v>0</v>
      </c>
      <c r="AY121">
        <f t="shared" si="28"/>
        <v>0</v>
      </c>
      <c r="AZ121">
        <f t="shared" si="35"/>
        <v>0</v>
      </c>
      <c r="BA121">
        <f t="shared" si="36"/>
        <v>0</v>
      </c>
      <c r="BB121">
        <f t="shared" si="29"/>
        <v>8867861.29797591</v>
      </c>
      <c r="BC121">
        <f t="shared" si="21"/>
        <v>110848.266224699</v>
      </c>
      <c r="BD121">
        <f t="shared" si="22"/>
        <v>0.0125</v>
      </c>
      <c r="BG121">
        <f t="shared" si="30"/>
        <v>0</v>
      </c>
      <c r="BH121">
        <f t="shared" si="31"/>
        <v>7170079.31508434</v>
      </c>
      <c r="BI121">
        <f t="shared" si="23"/>
        <v>89625.9914385543</v>
      </c>
      <c r="BJ121">
        <f t="shared" si="24"/>
        <v>0.0125</v>
      </c>
    </row>
    <row r="122" spans="39:62">
      <c r="AM122">
        <v>68.95</v>
      </c>
      <c r="AN122">
        <f t="shared" si="25"/>
        <v>0</v>
      </c>
      <c r="AO122">
        <f t="shared" si="32"/>
        <v>0</v>
      </c>
      <c r="AP122">
        <f t="shared" si="33"/>
        <v>0</v>
      </c>
      <c r="AQ122">
        <f t="shared" si="37"/>
        <v>0</v>
      </c>
      <c r="AR122">
        <f t="shared" si="34"/>
        <v>7718359.29251081</v>
      </c>
      <c r="AS122">
        <f t="shared" si="26"/>
        <v>96479.4911563852</v>
      </c>
      <c r="AT122">
        <f t="shared" si="27"/>
        <v>0.0125</v>
      </c>
      <c r="AW122">
        <v>164.65</v>
      </c>
      <c r="AX122">
        <f t="shared" si="20"/>
        <v>0</v>
      </c>
      <c r="AY122">
        <f t="shared" si="28"/>
        <v>0</v>
      </c>
      <c r="AZ122">
        <f t="shared" si="35"/>
        <v>0</v>
      </c>
      <c r="BA122">
        <f t="shared" si="36"/>
        <v>0</v>
      </c>
      <c r="BB122">
        <f t="shared" si="29"/>
        <v>8867861.29797591</v>
      </c>
      <c r="BC122">
        <f t="shared" si="21"/>
        <v>110848.266224699</v>
      </c>
      <c r="BD122">
        <f t="shared" si="22"/>
        <v>0.0125</v>
      </c>
      <c r="BG122">
        <f t="shared" si="30"/>
        <v>0</v>
      </c>
      <c r="BH122">
        <f t="shared" si="31"/>
        <v>7170079.31508434</v>
      </c>
      <c r="BI122">
        <f t="shared" si="23"/>
        <v>89625.9914385543</v>
      </c>
      <c r="BJ122">
        <f t="shared" si="24"/>
        <v>0.0125</v>
      </c>
    </row>
    <row r="123" spans="39:62">
      <c r="AM123">
        <v>68.03</v>
      </c>
      <c r="AN123">
        <f t="shared" si="25"/>
        <v>0</v>
      </c>
      <c r="AO123">
        <f t="shared" si="32"/>
        <v>0</v>
      </c>
      <c r="AP123">
        <f t="shared" si="33"/>
        <v>0</v>
      </c>
      <c r="AQ123">
        <f t="shared" si="37"/>
        <v>0</v>
      </c>
      <c r="AR123">
        <f t="shared" si="34"/>
        <v>7718359.29251081</v>
      </c>
      <c r="AS123">
        <f t="shared" si="26"/>
        <v>96479.4911563852</v>
      </c>
      <c r="AT123">
        <f t="shared" si="27"/>
        <v>0.0125</v>
      </c>
      <c r="AW123">
        <v>164.92</v>
      </c>
      <c r="AX123">
        <f t="shared" si="20"/>
        <v>0</v>
      </c>
      <c r="AY123">
        <f t="shared" si="28"/>
        <v>0</v>
      </c>
      <c r="AZ123">
        <f t="shared" si="35"/>
        <v>0</v>
      </c>
      <c r="BA123">
        <f t="shared" si="36"/>
        <v>0</v>
      </c>
      <c r="BB123">
        <f t="shared" si="29"/>
        <v>8867861.29797591</v>
      </c>
      <c r="BC123">
        <f t="shared" si="21"/>
        <v>110848.266224699</v>
      </c>
      <c r="BD123">
        <f t="shared" si="22"/>
        <v>0.0125</v>
      </c>
      <c r="BG123">
        <f t="shared" si="30"/>
        <v>0</v>
      </c>
      <c r="BH123">
        <f t="shared" si="31"/>
        <v>7170079.31508434</v>
      </c>
      <c r="BI123">
        <f t="shared" si="23"/>
        <v>89625.9914385543</v>
      </c>
      <c r="BJ123">
        <f t="shared" si="24"/>
        <v>0.0125</v>
      </c>
    </row>
    <row r="124" spans="39:62">
      <c r="AM124">
        <v>68.19</v>
      </c>
      <c r="AN124">
        <f t="shared" si="25"/>
        <v>0</v>
      </c>
      <c r="AO124">
        <f t="shared" si="32"/>
        <v>0</v>
      </c>
      <c r="AP124">
        <f t="shared" si="33"/>
        <v>0</v>
      </c>
      <c r="AQ124">
        <f t="shared" si="37"/>
        <v>0</v>
      </c>
      <c r="AR124">
        <f t="shared" si="34"/>
        <v>7718359.29251081</v>
      </c>
      <c r="AS124">
        <f t="shared" si="26"/>
        <v>96479.4911563852</v>
      </c>
      <c r="AT124">
        <f t="shared" si="27"/>
        <v>0.0125</v>
      </c>
      <c r="AW124">
        <v>164.97</v>
      </c>
      <c r="AX124">
        <f t="shared" si="20"/>
        <v>0</v>
      </c>
      <c r="AY124">
        <f t="shared" si="28"/>
        <v>0</v>
      </c>
      <c r="AZ124">
        <f t="shared" si="35"/>
        <v>0</v>
      </c>
      <c r="BA124">
        <f t="shared" si="36"/>
        <v>0</v>
      </c>
      <c r="BB124">
        <f t="shared" si="29"/>
        <v>8867861.29797591</v>
      </c>
      <c r="BC124">
        <f t="shared" si="21"/>
        <v>110848.266224699</v>
      </c>
      <c r="BD124">
        <f t="shared" si="22"/>
        <v>0.0125</v>
      </c>
      <c r="BG124">
        <f t="shared" si="30"/>
        <v>0</v>
      </c>
      <c r="BH124">
        <f t="shared" si="31"/>
        <v>7170079.31508434</v>
      </c>
      <c r="BI124">
        <f t="shared" si="23"/>
        <v>89625.9914385543</v>
      </c>
      <c r="BJ124">
        <f t="shared" si="24"/>
        <v>0.0125</v>
      </c>
    </row>
    <row r="125" spans="39:62">
      <c r="AM125">
        <v>67.74</v>
      </c>
      <c r="AN125">
        <f t="shared" si="25"/>
        <v>0</v>
      </c>
      <c r="AO125">
        <f t="shared" si="32"/>
        <v>0</v>
      </c>
      <c r="AP125">
        <f t="shared" si="33"/>
        <v>0</v>
      </c>
      <c r="AQ125">
        <f t="shared" si="37"/>
        <v>0</v>
      </c>
      <c r="AR125">
        <f t="shared" si="34"/>
        <v>7718359.29251081</v>
      </c>
      <c r="AS125">
        <f t="shared" si="26"/>
        <v>96479.4911563852</v>
      </c>
      <c r="AT125">
        <f t="shared" si="27"/>
        <v>0.0125</v>
      </c>
      <c r="AW125">
        <v>165.09</v>
      </c>
      <c r="AX125">
        <f t="shared" si="20"/>
        <v>0</v>
      </c>
      <c r="AY125">
        <f t="shared" si="28"/>
        <v>0</v>
      </c>
      <c r="AZ125">
        <f t="shared" si="35"/>
        <v>0</v>
      </c>
      <c r="BA125">
        <f t="shared" si="36"/>
        <v>0</v>
      </c>
      <c r="BB125">
        <f t="shared" si="29"/>
        <v>8867861.29797591</v>
      </c>
      <c r="BC125">
        <f t="shared" si="21"/>
        <v>110848.266224699</v>
      </c>
      <c r="BD125">
        <f t="shared" si="22"/>
        <v>0.0125</v>
      </c>
      <c r="BG125">
        <f t="shared" si="30"/>
        <v>0</v>
      </c>
      <c r="BH125">
        <f t="shared" si="31"/>
        <v>7170079.31508434</v>
      </c>
      <c r="BI125">
        <f t="shared" si="23"/>
        <v>89625.9914385543</v>
      </c>
      <c r="BJ125">
        <f t="shared" si="24"/>
        <v>0.0125</v>
      </c>
    </row>
    <row r="126" spans="39:62">
      <c r="AM126">
        <v>66.92</v>
      </c>
      <c r="AN126">
        <f t="shared" si="25"/>
        <v>0</v>
      </c>
      <c r="AO126">
        <f t="shared" si="32"/>
        <v>0</v>
      </c>
      <c r="AP126">
        <f t="shared" si="33"/>
        <v>0</v>
      </c>
      <c r="AQ126">
        <f t="shared" si="37"/>
        <v>0</v>
      </c>
      <c r="AR126">
        <f t="shared" si="34"/>
        <v>7718359.29251081</v>
      </c>
      <c r="AS126">
        <f t="shared" si="26"/>
        <v>96479.4911563852</v>
      </c>
      <c r="AT126">
        <f t="shared" si="27"/>
        <v>0.0125</v>
      </c>
      <c r="AW126">
        <v>165.07</v>
      </c>
      <c r="AX126">
        <f t="shared" si="20"/>
        <v>0</v>
      </c>
      <c r="AY126">
        <f t="shared" si="28"/>
        <v>0</v>
      </c>
      <c r="AZ126">
        <f t="shared" si="35"/>
        <v>0</v>
      </c>
      <c r="BA126">
        <f t="shared" si="36"/>
        <v>0</v>
      </c>
      <c r="BB126">
        <f t="shared" si="29"/>
        <v>8867861.29797591</v>
      </c>
      <c r="BC126">
        <f t="shared" si="21"/>
        <v>110848.266224699</v>
      </c>
      <c r="BD126">
        <f t="shared" si="22"/>
        <v>0.0125</v>
      </c>
      <c r="BG126">
        <f t="shared" si="30"/>
        <v>0</v>
      </c>
      <c r="BH126">
        <f t="shared" si="31"/>
        <v>7170079.31508434</v>
      </c>
      <c r="BI126">
        <f t="shared" si="23"/>
        <v>89625.9914385543</v>
      </c>
      <c r="BJ126">
        <f t="shared" si="24"/>
        <v>0.0125</v>
      </c>
    </row>
    <row r="127" spans="39:62">
      <c r="AM127">
        <v>66.97</v>
      </c>
      <c r="AN127">
        <f t="shared" si="25"/>
        <v>0</v>
      </c>
      <c r="AO127">
        <f t="shared" si="32"/>
        <v>0</v>
      </c>
      <c r="AP127">
        <f t="shared" si="33"/>
        <v>0</v>
      </c>
      <c r="AQ127">
        <f t="shared" si="37"/>
        <v>0</v>
      </c>
      <c r="AR127">
        <f t="shared" si="34"/>
        <v>7718359.29251081</v>
      </c>
      <c r="AS127">
        <f t="shared" si="26"/>
        <v>96479.4911563852</v>
      </c>
      <c r="AT127">
        <f t="shared" si="27"/>
        <v>0.0125</v>
      </c>
      <c r="AW127">
        <v>165.14</v>
      </c>
      <c r="AX127">
        <f t="shared" si="20"/>
        <v>0</v>
      </c>
      <c r="AY127">
        <f t="shared" si="28"/>
        <v>0</v>
      </c>
      <c r="AZ127">
        <f t="shared" si="35"/>
        <v>0</v>
      </c>
      <c r="BA127">
        <f t="shared" si="36"/>
        <v>0</v>
      </c>
      <c r="BB127">
        <f t="shared" si="29"/>
        <v>8867861.29797591</v>
      </c>
      <c r="BC127">
        <f t="shared" si="21"/>
        <v>110848.266224699</v>
      </c>
      <c r="BD127">
        <f t="shared" si="22"/>
        <v>0.0125</v>
      </c>
      <c r="BG127">
        <f t="shared" si="30"/>
        <v>0</v>
      </c>
      <c r="BH127">
        <f t="shared" si="31"/>
        <v>7170079.31508434</v>
      </c>
      <c r="BI127">
        <f t="shared" si="23"/>
        <v>89625.9914385543</v>
      </c>
      <c r="BJ127">
        <f t="shared" si="24"/>
        <v>0.0125</v>
      </c>
    </row>
    <row r="128" spans="39:62">
      <c r="AM128">
        <v>67.045</v>
      </c>
      <c r="AN128">
        <f t="shared" si="25"/>
        <v>0</v>
      </c>
      <c r="AO128">
        <f t="shared" si="32"/>
        <v>0</v>
      </c>
      <c r="AP128">
        <f t="shared" si="33"/>
        <v>0</v>
      </c>
      <c r="AQ128">
        <f t="shared" si="37"/>
        <v>0</v>
      </c>
      <c r="AR128">
        <f t="shared" si="34"/>
        <v>7718359.29251081</v>
      </c>
      <c r="AS128">
        <f t="shared" si="26"/>
        <v>96479.4911563852</v>
      </c>
      <c r="AT128">
        <f t="shared" si="27"/>
        <v>0.0125</v>
      </c>
      <c r="AW128">
        <v>163.75</v>
      </c>
      <c r="AX128">
        <f t="shared" si="20"/>
        <v>0</v>
      </c>
      <c r="AY128">
        <f t="shared" si="28"/>
        <v>0</v>
      </c>
      <c r="AZ128">
        <f t="shared" si="35"/>
        <v>0</v>
      </c>
      <c r="BA128">
        <f t="shared" si="36"/>
        <v>0</v>
      </c>
      <c r="BB128">
        <f t="shared" si="29"/>
        <v>8867861.29797591</v>
      </c>
      <c r="BC128">
        <f t="shared" si="21"/>
        <v>110848.266224699</v>
      </c>
      <c r="BD128">
        <f t="shared" si="22"/>
        <v>0.0125</v>
      </c>
      <c r="BG128">
        <f t="shared" si="30"/>
        <v>0</v>
      </c>
      <c r="BH128">
        <f t="shared" si="31"/>
        <v>7170079.31508434</v>
      </c>
      <c r="BI128">
        <f t="shared" si="23"/>
        <v>89625.9914385543</v>
      </c>
      <c r="BJ128">
        <f t="shared" si="24"/>
        <v>0.0125</v>
      </c>
    </row>
    <row r="129" spans="39:62">
      <c r="AM129">
        <v>66.225</v>
      </c>
      <c r="AN129">
        <f t="shared" si="25"/>
        <v>0</v>
      </c>
      <c r="AO129">
        <f t="shared" si="32"/>
        <v>0</v>
      </c>
      <c r="AP129">
        <f t="shared" si="33"/>
        <v>0</v>
      </c>
      <c r="AQ129">
        <f t="shared" si="37"/>
        <v>0</v>
      </c>
      <c r="AR129">
        <f t="shared" si="34"/>
        <v>7718359.29251081</v>
      </c>
      <c r="AS129">
        <f t="shared" si="26"/>
        <v>96479.4911563852</v>
      </c>
      <c r="AT129">
        <f t="shared" si="27"/>
        <v>0.0125</v>
      </c>
      <c r="AW129">
        <v>163.45</v>
      </c>
      <c r="AX129">
        <f t="shared" si="20"/>
        <v>0</v>
      </c>
      <c r="AY129">
        <f t="shared" si="28"/>
        <v>0</v>
      </c>
      <c r="AZ129">
        <f t="shared" si="35"/>
        <v>0</v>
      </c>
      <c r="BA129">
        <f t="shared" si="36"/>
        <v>0</v>
      </c>
      <c r="BB129">
        <f t="shared" si="29"/>
        <v>8867861.29797591</v>
      </c>
      <c r="BC129">
        <f t="shared" si="21"/>
        <v>110848.266224699</v>
      </c>
      <c r="BD129">
        <f t="shared" si="22"/>
        <v>0.0125</v>
      </c>
      <c r="BG129">
        <f t="shared" si="30"/>
        <v>0</v>
      </c>
      <c r="BH129">
        <f t="shared" si="31"/>
        <v>7170079.31508434</v>
      </c>
      <c r="BI129">
        <f t="shared" si="23"/>
        <v>89625.9914385543</v>
      </c>
      <c r="BJ129">
        <f t="shared" si="24"/>
        <v>0.0125</v>
      </c>
    </row>
    <row r="130" spans="39:62">
      <c r="AM130">
        <v>66.335</v>
      </c>
      <c r="AN130">
        <f t="shared" si="25"/>
        <v>0</v>
      </c>
      <c r="AO130">
        <f t="shared" si="32"/>
        <v>0</v>
      </c>
      <c r="AP130">
        <f t="shared" si="33"/>
        <v>0</v>
      </c>
      <c r="AQ130">
        <f t="shared" si="37"/>
        <v>0</v>
      </c>
      <c r="AR130">
        <f t="shared" si="34"/>
        <v>7718359.29251081</v>
      </c>
      <c r="AS130">
        <f t="shared" si="26"/>
        <v>96479.4911563852</v>
      </c>
      <c r="AT130">
        <f t="shared" si="27"/>
        <v>0.0125</v>
      </c>
      <c r="AW130">
        <v>162.17</v>
      </c>
      <c r="AX130">
        <f t="shared" ref="AX130:AX193" si="38">IF(V130&gt;0,AW130*1.01,IF(V130&lt;0,AW130*0.99,0))</f>
        <v>0</v>
      </c>
      <c r="AY130">
        <f t="shared" si="28"/>
        <v>0</v>
      </c>
      <c r="AZ130">
        <f t="shared" si="35"/>
        <v>0</v>
      </c>
      <c r="BA130">
        <f t="shared" si="36"/>
        <v>0</v>
      </c>
      <c r="BB130">
        <f t="shared" si="29"/>
        <v>8867861.29797591</v>
      </c>
      <c r="BC130">
        <f t="shared" ref="BC130:BC193" si="39">BB130*0.2/16</f>
        <v>110848.266224699</v>
      </c>
      <c r="BD130">
        <f t="shared" ref="BD130:BD193" si="40">BC130/BB130</f>
        <v>0.0125</v>
      </c>
      <c r="BG130">
        <f t="shared" si="30"/>
        <v>0</v>
      </c>
      <c r="BH130">
        <f t="shared" si="31"/>
        <v>7170079.31508434</v>
      </c>
      <c r="BI130">
        <f t="shared" ref="BI130:BI193" si="41">BH130*0.2/16</f>
        <v>89625.9914385543</v>
      </c>
      <c r="BJ130">
        <f t="shared" ref="BJ130:BJ193" si="42">BI130/BH130</f>
        <v>0.0125</v>
      </c>
    </row>
    <row r="131" spans="39:62">
      <c r="AM131">
        <v>66.78</v>
      </c>
      <c r="AN131">
        <f t="shared" ref="AN131:AN194" si="43">IF(L131&gt;0,AM131*1.01,IF(L131&lt;0,AM131*0.99,0))</f>
        <v>0</v>
      </c>
      <c r="AO131">
        <f t="shared" si="32"/>
        <v>0</v>
      </c>
      <c r="AP131">
        <f t="shared" si="33"/>
        <v>0</v>
      </c>
      <c r="AQ131">
        <f t="shared" si="37"/>
        <v>0</v>
      </c>
      <c r="AR131">
        <f t="shared" si="34"/>
        <v>7718359.29251081</v>
      </c>
      <c r="AS131">
        <f t="shared" ref="AS131:AS194" si="44">AR131*0.2/16</f>
        <v>96479.4911563852</v>
      </c>
      <c r="AT131">
        <f t="shared" ref="AT131:AT194" si="45">AS131/AR131</f>
        <v>0.0125</v>
      </c>
      <c r="AW131">
        <v>161.87</v>
      </c>
      <c r="AX131">
        <f t="shared" si="38"/>
        <v>0</v>
      </c>
      <c r="AY131">
        <f t="shared" ref="AY131:AY194" si="46">IF(AX131&lt;&gt;0,(AW131-AX131)*$BE$2/$BF$2*AA131,0)</f>
        <v>0</v>
      </c>
      <c r="AZ131">
        <f t="shared" si="35"/>
        <v>0</v>
      </c>
      <c r="BA131">
        <f t="shared" si="36"/>
        <v>0</v>
      </c>
      <c r="BB131">
        <f t="shared" ref="BB131:BB194" si="47">BA131+BB130</f>
        <v>8867861.29797591</v>
      </c>
      <c r="BC131">
        <f t="shared" si="39"/>
        <v>110848.266224699</v>
      </c>
      <c r="BD131">
        <f t="shared" si="40"/>
        <v>0.0125</v>
      </c>
      <c r="BG131">
        <f t="shared" ref="BG131:BG194" si="48">AY131+AO131</f>
        <v>0</v>
      </c>
      <c r="BH131">
        <f t="shared" ref="BH131:BH194" si="49">BG131+BH130</f>
        <v>7170079.31508434</v>
      </c>
      <c r="BI131">
        <f t="shared" si="41"/>
        <v>89625.9914385543</v>
      </c>
      <c r="BJ131">
        <f t="shared" si="42"/>
        <v>0.0125</v>
      </c>
    </row>
    <row r="132" spans="39:62">
      <c r="AM132">
        <v>66.78</v>
      </c>
      <c r="AN132">
        <f t="shared" si="43"/>
        <v>0</v>
      </c>
      <c r="AO132">
        <f t="shared" ref="AO132:AO195" si="50">IF(AN132&lt;&gt;0,(AM132-AN132)*$AU$2/$AV$2*L132,0)</f>
        <v>0</v>
      </c>
      <c r="AP132">
        <f t="shared" ref="AP132:AP195" si="51">(AM132-AM131)*$AU$2/$AV$2*Z131</f>
        <v>0</v>
      </c>
      <c r="AQ132">
        <f t="shared" si="37"/>
        <v>0</v>
      </c>
      <c r="AR132">
        <f t="shared" ref="AR132:AR195" si="52">AQ132+AR131</f>
        <v>7718359.29251081</v>
      </c>
      <c r="AS132">
        <f t="shared" si="44"/>
        <v>96479.4911563852</v>
      </c>
      <c r="AT132">
        <f t="shared" si="45"/>
        <v>0.0125</v>
      </c>
      <c r="AW132">
        <v>161.65</v>
      </c>
      <c r="AX132">
        <f t="shared" si="38"/>
        <v>0</v>
      </c>
      <c r="AY132">
        <f t="shared" si="46"/>
        <v>0</v>
      </c>
      <c r="AZ132">
        <f t="shared" ref="AZ132:AZ195" si="53">(AW132-AW131)*$BE$2/$BF$2*AC131</f>
        <v>0</v>
      </c>
      <c r="BA132">
        <f t="shared" ref="BA132:BA195" si="54">AY132+AZ132</f>
        <v>0</v>
      </c>
      <c r="BB132">
        <f t="shared" si="47"/>
        <v>8867861.29797591</v>
      </c>
      <c r="BC132">
        <f t="shared" si="39"/>
        <v>110848.266224699</v>
      </c>
      <c r="BD132">
        <f t="shared" si="40"/>
        <v>0.0125</v>
      </c>
      <c r="BG132">
        <f t="shared" si="48"/>
        <v>0</v>
      </c>
      <c r="BH132">
        <f t="shared" si="49"/>
        <v>7170079.31508434</v>
      </c>
      <c r="BI132">
        <f t="shared" si="41"/>
        <v>89625.9914385543</v>
      </c>
      <c r="BJ132">
        <f t="shared" si="42"/>
        <v>0.0125</v>
      </c>
    </row>
    <row r="133" spans="39:62">
      <c r="AM133">
        <v>66.875</v>
      </c>
      <c r="AN133">
        <f t="shared" si="43"/>
        <v>0</v>
      </c>
      <c r="AO133">
        <f t="shared" si="50"/>
        <v>0</v>
      </c>
      <c r="AP133">
        <f t="shared" si="51"/>
        <v>0</v>
      </c>
      <c r="AQ133">
        <f t="shared" ref="AQ133:AQ196" si="55">AO133+AP133</f>
        <v>0</v>
      </c>
      <c r="AR133">
        <f t="shared" si="52"/>
        <v>7718359.29251081</v>
      </c>
      <c r="AS133">
        <f t="shared" si="44"/>
        <v>96479.4911563852</v>
      </c>
      <c r="AT133">
        <f t="shared" si="45"/>
        <v>0.0125</v>
      </c>
      <c r="AW133">
        <v>161.85</v>
      </c>
      <c r="AX133">
        <f t="shared" si="38"/>
        <v>0</v>
      </c>
      <c r="AY133">
        <f t="shared" si="46"/>
        <v>0</v>
      </c>
      <c r="AZ133">
        <f t="shared" si="53"/>
        <v>0</v>
      </c>
      <c r="BA133">
        <f t="shared" si="54"/>
        <v>0</v>
      </c>
      <c r="BB133">
        <f t="shared" si="47"/>
        <v>8867861.29797591</v>
      </c>
      <c r="BC133">
        <f t="shared" si="39"/>
        <v>110848.266224699</v>
      </c>
      <c r="BD133">
        <f t="shared" si="40"/>
        <v>0.0125</v>
      </c>
      <c r="BG133">
        <f t="shared" si="48"/>
        <v>0</v>
      </c>
      <c r="BH133">
        <f t="shared" si="49"/>
        <v>7170079.31508434</v>
      </c>
      <c r="BI133">
        <f t="shared" si="41"/>
        <v>89625.9914385543</v>
      </c>
      <c r="BJ133">
        <f t="shared" si="42"/>
        <v>0.0125</v>
      </c>
    </row>
    <row r="134" spans="39:62">
      <c r="AM134">
        <v>66.7</v>
      </c>
      <c r="AN134">
        <f t="shared" si="43"/>
        <v>0</v>
      </c>
      <c r="AO134">
        <f t="shared" si="50"/>
        <v>0</v>
      </c>
      <c r="AP134">
        <f t="shared" si="51"/>
        <v>0</v>
      </c>
      <c r="AQ134">
        <f t="shared" si="55"/>
        <v>0</v>
      </c>
      <c r="AR134">
        <f t="shared" si="52"/>
        <v>7718359.29251081</v>
      </c>
      <c r="AS134">
        <f t="shared" si="44"/>
        <v>96479.4911563852</v>
      </c>
      <c r="AT134">
        <f t="shared" si="45"/>
        <v>0.0125</v>
      </c>
      <c r="AW134">
        <v>161.93</v>
      </c>
      <c r="AX134">
        <f t="shared" si="38"/>
        <v>0</v>
      </c>
      <c r="AY134">
        <f t="shared" si="46"/>
        <v>0</v>
      </c>
      <c r="AZ134">
        <f t="shared" si="53"/>
        <v>0</v>
      </c>
      <c r="BA134">
        <f t="shared" si="54"/>
        <v>0</v>
      </c>
      <c r="BB134">
        <f t="shared" si="47"/>
        <v>8867861.29797591</v>
      </c>
      <c r="BC134">
        <f t="shared" si="39"/>
        <v>110848.266224699</v>
      </c>
      <c r="BD134">
        <f t="shared" si="40"/>
        <v>0.0125</v>
      </c>
      <c r="BG134">
        <f t="shared" si="48"/>
        <v>0</v>
      </c>
      <c r="BH134">
        <f t="shared" si="49"/>
        <v>7170079.31508434</v>
      </c>
      <c r="BI134">
        <f t="shared" si="41"/>
        <v>89625.9914385543</v>
      </c>
      <c r="BJ134">
        <f t="shared" si="42"/>
        <v>0.0125</v>
      </c>
    </row>
    <row r="135" spans="39:62">
      <c r="AM135">
        <v>66.405</v>
      </c>
      <c r="AN135">
        <f t="shared" si="43"/>
        <v>0</v>
      </c>
      <c r="AO135">
        <f t="shared" si="50"/>
        <v>0</v>
      </c>
      <c r="AP135">
        <f t="shared" si="51"/>
        <v>0</v>
      </c>
      <c r="AQ135">
        <f t="shared" si="55"/>
        <v>0</v>
      </c>
      <c r="AR135">
        <f t="shared" si="52"/>
        <v>7718359.29251081</v>
      </c>
      <c r="AS135">
        <f t="shared" si="44"/>
        <v>96479.4911563852</v>
      </c>
      <c r="AT135">
        <f t="shared" si="45"/>
        <v>0.0125</v>
      </c>
      <c r="AW135">
        <v>160.5</v>
      </c>
      <c r="AX135">
        <f t="shared" si="38"/>
        <v>0</v>
      </c>
      <c r="AY135">
        <f t="shared" si="46"/>
        <v>0</v>
      </c>
      <c r="AZ135">
        <f t="shared" si="53"/>
        <v>0</v>
      </c>
      <c r="BA135">
        <f t="shared" si="54"/>
        <v>0</v>
      </c>
      <c r="BB135">
        <f t="shared" si="47"/>
        <v>8867861.29797591</v>
      </c>
      <c r="BC135">
        <f t="shared" si="39"/>
        <v>110848.266224699</v>
      </c>
      <c r="BD135">
        <f t="shared" si="40"/>
        <v>0.0125</v>
      </c>
      <c r="BG135">
        <f t="shared" si="48"/>
        <v>0</v>
      </c>
      <c r="BH135">
        <f t="shared" si="49"/>
        <v>7170079.31508434</v>
      </c>
      <c r="BI135">
        <f t="shared" si="41"/>
        <v>89625.9914385543</v>
      </c>
      <c r="BJ135">
        <f t="shared" si="42"/>
        <v>0.0125</v>
      </c>
    </row>
    <row r="136" spans="39:62">
      <c r="AM136">
        <v>67.095</v>
      </c>
      <c r="AN136">
        <f t="shared" si="43"/>
        <v>0</v>
      </c>
      <c r="AO136">
        <f t="shared" si="50"/>
        <v>0</v>
      </c>
      <c r="AP136">
        <f t="shared" si="51"/>
        <v>0</v>
      </c>
      <c r="AQ136">
        <f t="shared" si="55"/>
        <v>0</v>
      </c>
      <c r="AR136">
        <f t="shared" si="52"/>
        <v>7718359.29251081</v>
      </c>
      <c r="AS136">
        <f t="shared" si="44"/>
        <v>96479.4911563852</v>
      </c>
      <c r="AT136">
        <f t="shared" si="45"/>
        <v>0.0125</v>
      </c>
      <c r="AW136">
        <v>160.49</v>
      </c>
      <c r="AX136">
        <f t="shared" si="38"/>
        <v>0</v>
      </c>
      <c r="AY136">
        <f t="shared" si="46"/>
        <v>0</v>
      </c>
      <c r="AZ136">
        <f t="shared" si="53"/>
        <v>0</v>
      </c>
      <c r="BA136">
        <f t="shared" si="54"/>
        <v>0</v>
      </c>
      <c r="BB136">
        <f t="shared" si="47"/>
        <v>8867861.29797591</v>
      </c>
      <c r="BC136">
        <f t="shared" si="39"/>
        <v>110848.266224699</v>
      </c>
      <c r="BD136">
        <f t="shared" si="40"/>
        <v>0.0125</v>
      </c>
      <c r="BG136">
        <f t="shared" si="48"/>
        <v>0</v>
      </c>
      <c r="BH136">
        <f t="shared" si="49"/>
        <v>7170079.31508434</v>
      </c>
      <c r="BI136">
        <f t="shared" si="41"/>
        <v>89625.9914385543</v>
      </c>
      <c r="BJ136">
        <f t="shared" si="42"/>
        <v>0.0125</v>
      </c>
    </row>
    <row r="137" spans="39:62">
      <c r="AM137">
        <v>66.915</v>
      </c>
      <c r="AN137">
        <f t="shared" si="43"/>
        <v>0</v>
      </c>
      <c r="AO137">
        <f t="shared" si="50"/>
        <v>0</v>
      </c>
      <c r="AP137">
        <f t="shared" si="51"/>
        <v>0</v>
      </c>
      <c r="AQ137">
        <f t="shared" si="55"/>
        <v>0</v>
      </c>
      <c r="AR137">
        <f t="shared" si="52"/>
        <v>7718359.29251081</v>
      </c>
      <c r="AS137">
        <f t="shared" si="44"/>
        <v>96479.4911563852</v>
      </c>
      <c r="AT137">
        <f t="shared" si="45"/>
        <v>0.0125</v>
      </c>
      <c r="AW137">
        <v>160.94</v>
      </c>
      <c r="AX137">
        <f t="shared" si="38"/>
        <v>0</v>
      </c>
      <c r="AY137">
        <f t="shared" si="46"/>
        <v>0</v>
      </c>
      <c r="AZ137">
        <f t="shared" si="53"/>
        <v>0</v>
      </c>
      <c r="BA137">
        <f t="shared" si="54"/>
        <v>0</v>
      </c>
      <c r="BB137">
        <f t="shared" si="47"/>
        <v>8867861.29797591</v>
      </c>
      <c r="BC137">
        <f t="shared" si="39"/>
        <v>110848.266224699</v>
      </c>
      <c r="BD137">
        <f t="shared" si="40"/>
        <v>0.0125</v>
      </c>
      <c r="BG137">
        <f t="shared" si="48"/>
        <v>0</v>
      </c>
      <c r="BH137">
        <f t="shared" si="49"/>
        <v>7170079.31508434</v>
      </c>
      <c r="BI137">
        <f t="shared" si="41"/>
        <v>89625.9914385543</v>
      </c>
      <c r="BJ137">
        <f t="shared" si="42"/>
        <v>0.0125</v>
      </c>
    </row>
    <row r="138" spans="39:62">
      <c r="AM138">
        <v>66.94</v>
      </c>
      <c r="AN138">
        <f t="shared" si="43"/>
        <v>0</v>
      </c>
      <c r="AO138">
        <f t="shared" si="50"/>
        <v>0</v>
      </c>
      <c r="AP138">
        <f t="shared" si="51"/>
        <v>0</v>
      </c>
      <c r="AQ138">
        <f t="shared" si="55"/>
        <v>0</v>
      </c>
      <c r="AR138">
        <f t="shared" si="52"/>
        <v>7718359.29251081</v>
      </c>
      <c r="AS138">
        <f t="shared" si="44"/>
        <v>96479.4911563852</v>
      </c>
      <c r="AT138">
        <f t="shared" si="45"/>
        <v>0.0125</v>
      </c>
      <c r="AW138">
        <v>160.69</v>
      </c>
      <c r="AX138">
        <f t="shared" si="38"/>
        <v>0</v>
      </c>
      <c r="AY138">
        <f t="shared" si="46"/>
        <v>0</v>
      </c>
      <c r="AZ138">
        <f t="shared" si="53"/>
        <v>0</v>
      </c>
      <c r="BA138">
        <f t="shared" si="54"/>
        <v>0</v>
      </c>
      <c r="BB138">
        <f t="shared" si="47"/>
        <v>8867861.29797591</v>
      </c>
      <c r="BC138">
        <f t="shared" si="39"/>
        <v>110848.266224699</v>
      </c>
      <c r="BD138">
        <f t="shared" si="40"/>
        <v>0.0125</v>
      </c>
      <c r="BG138">
        <f t="shared" si="48"/>
        <v>0</v>
      </c>
      <c r="BH138">
        <f t="shared" si="49"/>
        <v>7170079.31508434</v>
      </c>
      <c r="BI138">
        <f t="shared" si="41"/>
        <v>89625.9914385543</v>
      </c>
      <c r="BJ138">
        <f t="shared" si="42"/>
        <v>0.0125</v>
      </c>
    </row>
    <row r="139" spans="39:62">
      <c r="AM139">
        <v>68.075</v>
      </c>
      <c r="AN139">
        <f t="shared" si="43"/>
        <v>0</v>
      </c>
      <c r="AO139">
        <f t="shared" si="50"/>
        <v>0</v>
      </c>
      <c r="AP139">
        <f t="shared" si="51"/>
        <v>0</v>
      </c>
      <c r="AQ139">
        <f t="shared" si="55"/>
        <v>0</v>
      </c>
      <c r="AR139">
        <f t="shared" si="52"/>
        <v>7718359.29251081</v>
      </c>
      <c r="AS139">
        <f t="shared" si="44"/>
        <v>96479.4911563852</v>
      </c>
      <c r="AT139">
        <f t="shared" si="45"/>
        <v>0.0125</v>
      </c>
      <c r="AW139">
        <v>161.42</v>
      </c>
      <c r="AX139">
        <f t="shared" si="38"/>
        <v>0</v>
      </c>
      <c r="AY139">
        <f t="shared" si="46"/>
        <v>0</v>
      </c>
      <c r="AZ139">
        <f t="shared" si="53"/>
        <v>0</v>
      </c>
      <c r="BA139">
        <f t="shared" si="54"/>
        <v>0</v>
      </c>
      <c r="BB139">
        <f t="shared" si="47"/>
        <v>8867861.29797591</v>
      </c>
      <c r="BC139">
        <f t="shared" si="39"/>
        <v>110848.266224699</v>
      </c>
      <c r="BD139">
        <f t="shared" si="40"/>
        <v>0.0125</v>
      </c>
      <c r="BG139">
        <f t="shared" si="48"/>
        <v>0</v>
      </c>
      <c r="BH139">
        <f t="shared" si="49"/>
        <v>7170079.31508434</v>
      </c>
      <c r="BI139">
        <f t="shared" si="41"/>
        <v>89625.9914385543</v>
      </c>
      <c r="BJ139">
        <f t="shared" si="42"/>
        <v>0.0125</v>
      </c>
    </row>
    <row r="140" spans="39:62">
      <c r="AM140">
        <v>69.06</v>
      </c>
      <c r="AN140">
        <f t="shared" si="43"/>
        <v>0</v>
      </c>
      <c r="AO140">
        <f t="shared" si="50"/>
        <v>0</v>
      </c>
      <c r="AP140">
        <f t="shared" si="51"/>
        <v>0</v>
      </c>
      <c r="AQ140">
        <f t="shared" si="55"/>
        <v>0</v>
      </c>
      <c r="AR140">
        <f t="shared" si="52"/>
        <v>7718359.29251081</v>
      </c>
      <c r="AS140">
        <f t="shared" si="44"/>
        <v>96479.4911563852</v>
      </c>
      <c r="AT140">
        <f t="shared" si="45"/>
        <v>0.0125</v>
      </c>
      <c r="AW140">
        <v>161.15</v>
      </c>
      <c r="AX140">
        <f t="shared" si="38"/>
        <v>0</v>
      </c>
      <c r="AY140">
        <f t="shared" si="46"/>
        <v>0</v>
      </c>
      <c r="AZ140">
        <f t="shared" si="53"/>
        <v>0</v>
      </c>
      <c r="BA140">
        <f t="shared" si="54"/>
        <v>0</v>
      </c>
      <c r="BB140">
        <f t="shared" si="47"/>
        <v>8867861.29797591</v>
      </c>
      <c r="BC140">
        <f t="shared" si="39"/>
        <v>110848.266224699</v>
      </c>
      <c r="BD140">
        <f t="shared" si="40"/>
        <v>0.0125</v>
      </c>
      <c r="BG140">
        <f t="shared" si="48"/>
        <v>0</v>
      </c>
      <c r="BH140">
        <f t="shared" si="49"/>
        <v>7170079.31508434</v>
      </c>
      <c r="BI140">
        <f t="shared" si="41"/>
        <v>89625.9914385543</v>
      </c>
      <c r="BJ140">
        <f t="shared" si="42"/>
        <v>0.0125</v>
      </c>
    </row>
    <row r="141" spans="39:62">
      <c r="AM141">
        <v>68.54</v>
      </c>
      <c r="AN141">
        <f t="shared" si="43"/>
        <v>0</v>
      </c>
      <c r="AO141">
        <f t="shared" si="50"/>
        <v>0</v>
      </c>
      <c r="AP141">
        <f t="shared" si="51"/>
        <v>0</v>
      </c>
      <c r="AQ141">
        <f t="shared" si="55"/>
        <v>0</v>
      </c>
      <c r="AR141">
        <f t="shared" si="52"/>
        <v>7718359.29251081</v>
      </c>
      <c r="AS141">
        <f t="shared" si="44"/>
        <v>96479.4911563852</v>
      </c>
      <c r="AT141">
        <f t="shared" si="45"/>
        <v>0.0125</v>
      </c>
      <c r="AW141">
        <v>161.14</v>
      </c>
      <c r="AX141">
        <f t="shared" si="38"/>
        <v>0</v>
      </c>
      <c r="AY141">
        <f t="shared" si="46"/>
        <v>0</v>
      </c>
      <c r="AZ141">
        <f t="shared" si="53"/>
        <v>0</v>
      </c>
      <c r="BA141">
        <f t="shared" si="54"/>
        <v>0</v>
      </c>
      <c r="BB141">
        <f t="shared" si="47"/>
        <v>8867861.29797591</v>
      </c>
      <c r="BC141">
        <f t="shared" si="39"/>
        <v>110848.266224699</v>
      </c>
      <c r="BD141">
        <f t="shared" si="40"/>
        <v>0.0125</v>
      </c>
      <c r="BG141">
        <f t="shared" si="48"/>
        <v>0</v>
      </c>
      <c r="BH141">
        <f t="shared" si="49"/>
        <v>7170079.31508434</v>
      </c>
      <c r="BI141">
        <f t="shared" si="41"/>
        <v>89625.9914385543</v>
      </c>
      <c r="BJ141">
        <f t="shared" si="42"/>
        <v>0.0125</v>
      </c>
    </row>
    <row r="142" spans="39:62">
      <c r="AM142">
        <v>68.365</v>
      </c>
      <c r="AN142">
        <f t="shared" si="43"/>
        <v>0</v>
      </c>
      <c r="AO142">
        <f t="shared" si="50"/>
        <v>0</v>
      </c>
      <c r="AP142">
        <f t="shared" si="51"/>
        <v>0</v>
      </c>
      <c r="AQ142">
        <f t="shared" si="55"/>
        <v>0</v>
      </c>
      <c r="AR142">
        <f t="shared" si="52"/>
        <v>7718359.29251081</v>
      </c>
      <c r="AS142">
        <f t="shared" si="44"/>
        <v>96479.4911563852</v>
      </c>
      <c r="AT142">
        <f t="shared" si="45"/>
        <v>0.0125</v>
      </c>
      <c r="AW142">
        <v>161.28</v>
      </c>
      <c r="AX142">
        <f t="shared" si="38"/>
        <v>0</v>
      </c>
      <c r="AY142">
        <f t="shared" si="46"/>
        <v>0</v>
      </c>
      <c r="AZ142">
        <f t="shared" si="53"/>
        <v>0</v>
      </c>
      <c r="BA142">
        <f t="shared" si="54"/>
        <v>0</v>
      </c>
      <c r="BB142">
        <f t="shared" si="47"/>
        <v>8867861.29797591</v>
      </c>
      <c r="BC142">
        <f t="shared" si="39"/>
        <v>110848.266224699</v>
      </c>
      <c r="BD142">
        <f t="shared" si="40"/>
        <v>0.0125</v>
      </c>
      <c r="BG142">
        <f t="shared" si="48"/>
        <v>0</v>
      </c>
      <c r="BH142">
        <f t="shared" si="49"/>
        <v>7170079.31508434</v>
      </c>
      <c r="BI142">
        <f t="shared" si="41"/>
        <v>89625.9914385543</v>
      </c>
      <c r="BJ142">
        <f t="shared" si="42"/>
        <v>0.0125</v>
      </c>
    </row>
    <row r="143" spans="39:62">
      <c r="AM143">
        <v>68.27</v>
      </c>
      <c r="AN143">
        <f t="shared" si="43"/>
        <v>0</v>
      </c>
      <c r="AO143">
        <f t="shared" si="50"/>
        <v>0</v>
      </c>
      <c r="AP143">
        <f t="shared" si="51"/>
        <v>0</v>
      </c>
      <c r="AQ143">
        <f t="shared" si="55"/>
        <v>0</v>
      </c>
      <c r="AR143">
        <f t="shared" si="52"/>
        <v>7718359.29251081</v>
      </c>
      <c r="AS143">
        <f t="shared" si="44"/>
        <v>96479.4911563852</v>
      </c>
      <c r="AT143">
        <f t="shared" si="45"/>
        <v>0.0125</v>
      </c>
      <c r="AW143">
        <v>161.61</v>
      </c>
      <c r="AX143">
        <f t="shared" si="38"/>
        <v>0</v>
      </c>
      <c r="AY143">
        <f t="shared" si="46"/>
        <v>0</v>
      </c>
      <c r="AZ143">
        <f t="shared" si="53"/>
        <v>0</v>
      </c>
      <c r="BA143">
        <f t="shared" si="54"/>
        <v>0</v>
      </c>
      <c r="BB143">
        <f t="shared" si="47"/>
        <v>8867861.29797591</v>
      </c>
      <c r="BC143">
        <f t="shared" si="39"/>
        <v>110848.266224699</v>
      </c>
      <c r="BD143">
        <f t="shared" si="40"/>
        <v>0.0125</v>
      </c>
      <c r="BG143">
        <f t="shared" si="48"/>
        <v>0</v>
      </c>
      <c r="BH143">
        <f t="shared" si="49"/>
        <v>7170079.31508434</v>
      </c>
      <c r="BI143">
        <f t="shared" si="41"/>
        <v>89625.9914385543</v>
      </c>
      <c r="BJ143">
        <f t="shared" si="42"/>
        <v>0.0125</v>
      </c>
    </row>
    <row r="144" spans="39:62">
      <c r="AM144">
        <v>67.895</v>
      </c>
      <c r="AN144">
        <f t="shared" si="43"/>
        <v>0</v>
      </c>
      <c r="AO144">
        <f t="shared" si="50"/>
        <v>0</v>
      </c>
      <c r="AP144">
        <f t="shared" si="51"/>
        <v>0</v>
      </c>
      <c r="AQ144">
        <f t="shared" si="55"/>
        <v>0</v>
      </c>
      <c r="AR144">
        <f t="shared" si="52"/>
        <v>7718359.29251081</v>
      </c>
      <c r="AS144">
        <f t="shared" si="44"/>
        <v>96479.4911563852</v>
      </c>
      <c r="AT144">
        <f t="shared" si="45"/>
        <v>0.0125</v>
      </c>
      <c r="AW144">
        <v>161.92</v>
      </c>
      <c r="AX144">
        <f t="shared" si="38"/>
        <v>0</v>
      </c>
      <c r="AY144">
        <f t="shared" si="46"/>
        <v>0</v>
      </c>
      <c r="AZ144">
        <f t="shared" si="53"/>
        <v>0</v>
      </c>
      <c r="BA144">
        <f t="shared" si="54"/>
        <v>0</v>
      </c>
      <c r="BB144">
        <f t="shared" si="47"/>
        <v>8867861.29797591</v>
      </c>
      <c r="BC144">
        <f t="shared" si="39"/>
        <v>110848.266224699</v>
      </c>
      <c r="BD144">
        <f t="shared" si="40"/>
        <v>0.0125</v>
      </c>
      <c r="BG144">
        <f t="shared" si="48"/>
        <v>0</v>
      </c>
      <c r="BH144">
        <f t="shared" si="49"/>
        <v>7170079.31508434</v>
      </c>
      <c r="BI144">
        <f t="shared" si="41"/>
        <v>89625.9914385543</v>
      </c>
      <c r="BJ144">
        <f t="shared" si="42"/>
        <v>0.0125</v>
      </c>
    </row>
    <row r="145" spans="39:62">
      <c r="AM145">
        <v>67.935</v>
      </c>
      <c r="AN145">
        <f t="shared" si="43"/>
        <v>0</v>
      </c>
      <c r="AO145">
        <f t="shared" si="50"/>
        <v>0</v>
      </c>
      <c r="AP145">
        <f t="shared" si="51"/>
        <v>0</v>
      </c>
      <c r="AQ145">
        <f t="shared" si="55"/>
        <v>0</v>
      </c>
      <c r="AR145">
        <f t="shared" si="52"/>
        <v>7718359.29251081</v>
      </c>
      <c r="AS145">
        <f t="shared" si="44"/>
        <v>96479.4911563852</v>
      </c>
      <c r="AT145">
        <f t="shared" si="45"/>
        <v>0.0125</v>
      </c>
      <c r="AW145">
        <v>161.93</v>
      </c>
      <c r="AX145">
        <f t="shared" si="38"/>
        <v>0</v>
      </c>
      <c r="AY145">
        <f t="shared" si="46"/>
        <v>0</v>
      </c>
      <c r="AZ145">
        <f t="shared" si="53"/>
        <v>0</v>
      </c>
      <c r="BA145">
        <f t="shared" si="54"/>
        <v>0</v>
      </c>
      <c r="BB145">
        <f t="shared" si="47"/>
        <v>8867861.29797591</v>
      </c>
      <c r="BC145">
        <f t="shared" si="39"/>
        <v>110848.266224699</v>
      </c>
      <c r="BD145">
        <f t="shared" si="40"/>
        <v>0.0125</v>
      </c>
      <c r="BG145">
        <f t="shared" si="48"/>
        <v>0</v>
      </c>
      <c r="BH145">
        <f t="shared" si="49"/>
        <v>7170079.31508434</v>
      </c>
      <c r="BI145">
        <f t="shared" si="41"/>
        <v>89625.9914385543</v>
      </c>
      <c r="BJ145">
        <f t="shared" si="42"/>
        <v>0.0125</v>
      </c>
    </row>
    <row r="146" spans="39:62">
      <c r="AM146">
        <v>67.43</v>
      </c>
      <c r="AN146">
        <f t="shared" si="43"/>
        <v>0</v>
      </c>
      <c r="AO146">
        <f t="shared" si="50"/>
        <v>0</v>
      </c>
      <c r="AP146">
        <f t="shared" si="51"/>
        <v>0</v>
      </c>
      <c r="AQ146">
        <f t="shared" si="55"/>
        <v>0</v>
      </c>
      <c r="AR146">
        <f t="shared" si="52"/>
        <v>7718359.29251081</v>
      </c>
      <c r="AS146">
        <f t="shared" si="44"/>
        <v>96479.4911563852</v>
      </c>
      <c r="AT146">
        <f t="shared" si="45"/>
        <v>0.0125</v>
      </c>
      <c r="AW146">
        <v>162.48</v>
      </c>
      <c r="AX146">
        <f t="shared" si="38"/>
        <v>0</v>
      </c>
      <c r="AY146">
        <f t="shared" si="46"/>
        <v>0</v>
      </c>
      <c r="AZ146">
        <f t="shared" si="53"/>
        <v>0</v>
      </c>
      <c r="BA146">
        <f t="shared" si="54"/>
        <v>0</v>
      </c>
      <c r="BB146">
        <f t="shared" si="47"/>
        <v>8867861.29797591</v>
      </c>
      <c r="BC146">
        <f t="shared" si="39"/>
        <v>110848.266224699</v>
      </c>
      <c r="BD146">
        <f t="shared" si="40"/>
        <v>0.0125</v>
      </c>
      <c r="BG146">
        <f t="shared" si="48"/>
        <v>0</v>
      </c>
      <c r="BH146">
        <f t="shared" si="49"/>
        <v>7170079.31508434</v>
      </c>
      <c r="BI146">
        <f t="shared" si="41"/>
        <v>89625.9914385543</v>
      </c>
      <c r="BJ146">
        <f t="shared" si="42"/>
        <v>0.0125</v>
      </c>
    </row>
    <row r="147" spans="39:62">
      <c r="AM147">
        <v>67.54</v>
      </c>
      <c r="AN147">
        <f t="shared" si="43"/>
        <v>0</v>
      </c>
      <c r="AO147">
        <f t="shared" si="50"/>
        <v>0</v>
      </c>
      <c r="AP147">
        <f t="shared" si="51"/>
        <v>0</v>
      </c>
      <c r="AQ147">
        <f t="shared" si="55"/>
        <v>0</v>
      </c>
      <c r="AR147">
        <f t="shared" si="52"/>
        <v>7718359.29251081</v>
      </c>
      <c r="AS147">
        <f t="shared" si="44"/>
        <v>96479.4911563852</v>
      </c>
      <c r="AT147">
        <f t="shared" si="45"/>
        <v>0.0125</v>
      </c>
      <c r="AW147">
        <v>162.54</v>
      </c>
      <c r="AX147">
        <f t="shared" si="38"/>
        <v>0</v>
      </c>
      <c r="AY147">
        <f t="shared" si="46"/>
        <v>0</v>
      </c>
      <c r="AZ147">
        <f t="shared" si="53"/>
        <v>0</v>
      </c>
      <c r="BA147">
        <f t="shared" si="54"/>
        <v>0</v>
      </c>
      <c r="BB147">
        <f t="shared" si="47"/>
        <v>8867861.29797591</v>
      </c>
      <c r="BC147">
        <f t="shared" si="39"/>
        <v>110848.266224699</v>
      </c>
      <c r="BD147">
        <f t="shared" si="40"/>
        <v>0.0125</v>
      </c>
      <c r="BG147">
        <f t="shared" si="48"/>
        <v>0</v>
      </c>
      <c r="BH147">
        <f t="shared" si="49"/>
        <v>7170079.31508434</v>
      </c>
      <c r="BI147">
        <f t="shared" si="41"/>
        <v>89625.9914385543</v>
      </c>
      <c r="BJ147">
        <f t="shared" si="42"/>
        <v>0.0125</v>
      </c>
    </row>
    <row r="148" spans="39:62">
      <c r="AM148">
        <v>67.97</v>
      </c>
      <c r="AN148">
        <f t="shared" si="43"/>
        <v>0</v>
      </c>
      <c r="AO148">
        <f t="shared" si="50"/>
        <v>0</v>
      </c>
      <c r="AP148">
        <f t="shared" si="51"/>
        <v>0</v>
      </c>
      <c r="AQ148">
        <f t="shared" si="55"/>
        <v>0</v>
      </c>
      <c r="AR148">
        <f t="shared" si="52"/>
        <v>7718359.29251081</v>
      </c>
      <c r="AS148">
        <f t="shared" si="44"/>
        <v>96479.4911563852</v>
      </c>
      <c r="AT148">
        <f t="shared" si="45"/>
        <v>0.0125</v>
      </c>
      <c r="AW148">
        <v>161.6</v>
      </c>
      <c r="AX148">
        <f t="shared" si="38"/>
        <v>0</v>
      </c>
      <c r="AY148">
        <f t="shared" si="46"/>
        <v>0</v>
      </c>
      <c r="AZ148">
        <f t="shared" si="53"/>
        <v>0</v>
      </c>
      <c r="BA148">
        <f t="shared" si="54"/>
        <v>0</v>
      </c>
      <c r="BB148">
        <f t="shared" si="47"/>
        <v>8867861.29797591</v>
      </c>
      <c r="BC148">
        <f t="shared" si="39"/>
        <v>110848.266224699</v>
      </c>
      <c r="BD148">
        <f t="shared" si="40"/>
        <v>0.0125</v>
      </c>
      <c r="BG148">
        <f t="shared" si="48"/>
        <v>0</v>
      </c>
      <c r="BH148">
        <f t="shared" si="49"/>
        <v>7170079.31508434</v>
      </c>
      <c r="BI148">
        <f t="shared" si="41"/>
        <v>89625.9914385543</v>
      </c>
      <c r="BJ148">
        <f t="shared" si="42"/>
        <v>0.0125</v>
      </c>
    </row>
    <row r="149" spans="39:62">
      <c r="AM149">
        <v>67.91</v>
      </c>
      <c r="AN149">
        <f t="shared" si="43"/>
        <v>0</v>
      </c>
      <c r="AO149">
        <f t="shared" si="50"/>
        <v>0</v>
      </c>
      <c r="AP149">
        <f t="shared" si="51"/>
        <v>0</v>
      </c>
      <c r="AQ149">
        <f t="shared" si="55"/>
        <v>0</v>
      </c>
      <c r="AR149">
        <f t="shared" si="52"/>
        <v>7718359.29251081</v>
      </c>
      <c r="AS149">
        <f t="shared" si="44"/>
        <v>96479.4911563852</v>
      </c>
      <c r="AT149">
        <f t="shared" si="45"/>
        <v>0.0125</v>
      </c>
      <c r="AW149">
        <v>161.78</v>
      </c>
      <c r="AX149">
        <f t="shared" si="38"/>
        <v>0</v>
      </c>
      <c r="AY149">
        <f t="shared" si="46"/>
        <v>0</v>
      </c>
      <c r="AZ149">
        <f t="shared" si="53"/>
        <v>0</v>
      </c>
      <c r="BA149">
        <f t="shared" si="54"/>
        <v>0</v>
      </c>
      <c r="BB149">
        <f t="shared" si="47"/>
        <v>8867861.29797591</v>
      </c>
      <c r="BC149">
        <f t="shared" si="39"/>
        <v>110848.266224699</v>
      </c>
      <c r="BD149">
        <f t="shared" si="40"/>
        <v>0.0125</v>
      </c>
      <c r="BG149">
        <f t="shared" si="48"/>
        <v>0</v>
      </c>
      <c r="BH149">
        <f t="shared" si="49"/>
        <v>7170079.31508434</v>
      </c>
      <c r="BI149">
        <f t="shared" si="41"/>
        <v>89625.9914385543</v>
      </c>
      <c r="BJ149">
        <f t="shared" si="42"/>
        <v>0.0125</v>
      </c>
    </row>
    <row r="150" spans="39:62">
      <c r="AM150">
        <v>67.15</v>
      </c>
      <c r="AN150">
        <f t="shared" si="43"/>
        <v>0</v>
      </c>
      <c r="AO150">
        <f t="shared" si="50"/>
        <v>0</v>
      </c>
      <c r="AP150">
        <f t="shared" si="51"/>
        <v>0</v>
      </c>
      <c r="AQ150">
        <f t="shared" si="55"/>
        <v>0</v>
      </c>
      <c r="AR150">
        <f t="shared" si="52"/>
        <v>7718359.29251081</v>
      </c>
      <c r="AS150">
        <f t="shared" si="44"/>
        <v>96479.4911563852</v>
      </c>
      <c r="AT150">
        <f t="shared" si="45"/>
        <v>0.0125</v>
      </c>
      <c r="AW150">
        <v>162.23</v>
      </c>
      <c r="AX150">
        <f t="shared" si="38"/>
        <v>0</v>
      </c>
      <c r="AY150">
        <f t="shared" si="46"/>
        <v>0</v>
      </c>
      <c r="AZ150">
        <f t="shared" si="53"/>
        <v>0</v>
      </c>
      <c r="BA150">
        <f t="shared" si="54"/>
        <v>0</v>
      </c>
      <c r="BB150">
        <f t="shared" si="47"/>
        <v>8867861.29797591</v>
      </c>
      <c r="BC150">
        <f t="shared" si="39"/>
        <v>110848.266224699</v>
      </c>
      <c r="BD150">
        <f t="shared" si="40"/>
        <v>0.0125</v>
      </c>
      <c r="BG150">
        <f t="shared" si="48"/>
        <v>0</v>
      </c>
      <c r="BH150">
        <f t="shared" si="49"/>
        <v>7170079.31508434</v>
      </c>
      <c r="BI150">
        <f t="shared" si="41"/>
        <v>89625.9914385543</v>
      </c>
      <c r="BJ150">
        <f t="shared" si="42"/>
        <v>0.0125</v>
      </c>
    </row>
    <row r="151" spans="39:62">
      <c r="AM151">
        <v>66.625</v>
      </c>
      <c r="AN151">
        <f t="shared" si="43"/>
        <v>0</v>
      </c>
      <c r="AO151">
        <f t="shared" si="50"/>
        <v>0</v>
      </c>
      <c r="AP151">
        <f t="shared" si="51"/>
        <v>0</v>
      </c>
      <c r="AQ151">
        <f t="shared" si="55"/>
        <v>0</v>
      </c>
      <c r="AR151">
        <f t="shared" si="52"/>
        <v>7718359.29251081</v>
      </c>
      <c r="AS151">
        <f t="shared" si="44"/>
        <v>96479.4911563852</v>
      </c>
      <c r="AT151">
        <f t="shared" si="45"/>
        <v>0.0125</v>
      </c>
      <c r="AW151">
        <v>161.98</v>
      </c>
      <c r="AX151">
        <f t="shared" si="38"/>
        <v>0</v>
      </c>
      <c r="AY151">
        <f t="shared" si="46"/>
        <v>0</v>
      </c>
      <c r="AZ151">
        <f t="shared" si="53"/>
        <v>0</v>
      </c>
      <c r="BA151">
        <f t="shared" si="54"/>
        <v>0</v>
      </c>
      <c r="BB151">
        <f t="shared" si="47"/>
        <v>8867861.29797591</v>
      </c>
      <c r="BC151">
        <f t="shared" si="39"/>
        <v>110848.266224699</v>
      </c>
      <c r="BD151">
        <f t="shared" si="40"/>
        <v>0.0125</v>
      </c>
      <c r="BG151">
        <f t="shared" si="48"/>
        <v>0</v>
      </c>
      <c r="BH151">
        <f t="shared" si="49"/>
        <v>7170079.31508434</v>
      </c>
      <c r="BI151">
        <f t="shared" si="41"/>
        <v>89625.9914385543</v>
      </c>
      <c r="BJ151">
        <f t="shared" si="42"/>
        <v>0.0125</v>
      </c>
    </row>
    <row r="152" spans="39:62">
      <c r="AM152">
        <v>67.29</v>
      </c>
      <c r="AN152">
        <f t="shared" si="43"/>
        <v>0</v>
      </c>
      <c r="AO152">
        <f t="shared" si="50"/>
        <v>0</v>
      </c>
      <c r="AP152">
        <f t="shared" si="51"/>
        <v>0</v>
      </c>
      <c r="AQ152">
        <f t="shared" si="55"/>
        <v>0</v>
      </c>
      <c r="AR152">
        <f t="shared" si="52"/>
        <v>7718359.29251081</v>
      </c>
      <c r="AS152">
        <f t="shared" si="44"/>
        <v>96479.4911563852</v>
      </c>
      <c r="AT152">
        <f t="shared" si="45"/>
        <v>0.0125</v>
      </c>
      <c r="AW152">
        <v>161.95</v>
      </c>
      <c r="AX152">
        <f t="shared" si="38"/>
        <v>0</v>
      </c>
      <c r="AY152">
        <f t="shared" si="46"/>
        <v>0</v>
      </c>
      <c r="AZ152">
        <f t="shared" si="53"/>
        <v>0</v>
      </c>
      <c r="BA152">
        <f t="shared" si="54"/>
        <v>0</v>
      </c>
      <c r="BB152">
        <f t="shared" si="47"/>
        <v>8867861.29797591</v>
      </c>
      <c r="BC152">
        <f t="shared" si="39"/>
        <v>110848.266224699</v>
      </c>
      <c r="BD152">
        <f t="shared" si="40"/>
        <v>0.0125</v>
      </c>
      <c r="BG152">
        <f t="shared" si="48"/>
        <v>0</v>
      </c>
      <c r="BH152">
        <f t="shared" si="49"/>
        <v>7170079.31508434</v>
      </c>
      <c r="BI152">
        <f t="shared" si="41"/>
        <v>89625.9914385543</v>
      </c>
      <c r="BJ152">
        <f t="shared" si="42"/>
        <v>0.0125</v>
      </c>
    </row>
    <row r="153" spans="39:62">
      <c r="AM153">
        <v>66.19</v>
      </c>
      <c r="AN153">
        <f t="shared" si="43"/>
        <v>0</v>
      </c>
      <c r="AO153">
        <f t="shared" si="50"/>
        <v>0</v>
      </c>
      <c r="AP153">
        <f t="shared" si="51"/>
        <v>0</v>
      </c>
      <c r="AQ153">
        <f t="shared" si="55"/>
        <v>0</v>
      </c>
      <c r="AR153">
        <f t="shared" si="52"/>
        <v>7718359.29251081</v>
      </c>
      <c r="AS153">
        <f t="shared" si="44"/>
        <v>96479.4911563852</v>
      </c>
      <c r="AT153">
        <f t="shared" si="45"/>
        <v>0.0125</v>
      </c>
      <c r="AW153">
        <v>162.8</v>
      </c>
      <c r="AX153">
        <f t="shared" si="38"/>
        <v>0</v>
      </c>
      <c r="AY153">
        <f t="shared" si="46"/>
        <v>0</v>
      </c>
      <c r="AZ153">
        <f t="shared" si="53"/>
        <v>0</v>
      </c>
      <c r="BA153">
        <f t="shared" si="54"/>
        <v>0</v>
      </c>
      <c r="BB153">
        <f t="shared" si="47"/>
        <v>8867861.29797591</v>
      </c>
      <c r="BC153">
        <f t="shared" si="39"/>
        <v>110848.266224699</v>
      </c>
      <c r="BD153">
        <f t="shared" si="40"/>
        <v>0.0125</v>
      </c>
      <c r="BG153">
        <f t="shared" si="48"/>
        <v>0</v>
      </c>
      <c r="BH153">
        <f t="shared" si="49"/>
        <v>7170079.31508434</v>
      </c>
      <c r="BI153">
        <f t="shared" si="41"/>
        <v>89625.9914385543</v>
      </c>
      <c r="BJ153">
        <f t="shared" si="42"/>
        <v>0.0125</v>
      </c>
    </row>
    <row r="154" spans="39:62">
      <c r="AM154">
        <v>65.555</v>
      </c>
      <c r="AN154">
        <f t="shared" si="43"/>
        <v>0</v>
      </c>
      <c r="AO154">
        <f t="shared" si="50"/>
        <v>0</v>
      </c>
      <c r="AP154">
        <f t="shared" si="51"/>
        <v>0</v>
      </c>
      <c r="AQ154">
        <f t="shared" si="55"/>
        <v>0</v>
      </c>
      <c r="AR154">
        <f t="shared" si="52"/>
        <v>7718359.29251081</v>
      </c>
      <c r="AS154">
        <f t="shared" si="44"/>
        <v>96479.4911563852</v>
      </c>
      <c r="AT154">
        <f t="shared" si="45"/>
        <v>0.0125</v>
      </c>
      <c r="AW154">
        <v>162.86</v>
      </c>
      <c r="AX154">
        <f t="shared" si="38"/>
        <v>0</v>
      </c>
      <c r="AY154">
        <f t="shared" si="46"/>
        <v>0</v>
      </c>
      <c r="AZ154">
        <f t="shared" si="53"/>
        <v>0</v>
      </c>
      <c r="BA154">
        <f t="shared" si="54"/>
        <v>0</v>
      </c>
      <c r="BB154">
        <f t="shared" si="47"/>
        <v>8867861.29797591</v>
      </c>
      <c r="BC154">
        <f t="shared" si="39"/>
        <v>110848.266224699</v>
      </c>
      <c r="BD154">
        <f t="shared" si="40"/>
        <v>0.0125</v>
      </c>
      <c r="BG154">
        <f t="shared" si="48"/>
        <v>0</v>
      </c>
      <c r="BH154">
        <f t="shared" si="49"/>
        <v>7170079.31508434</v>
      </c>
      <c r="BI154">
        <f t="shared" si="41"/>
        <v>89625.9914385543</v>
      </c>
      <c r="BJ154">
        <f t="shared" si="42"/>
        <v>0.0125</v>
      </c>
    </row>
    <row r="155" spans="39:62">
      <c r="AM155">
        <v>65.57</v>
      </c>
      <c r="AN155">
        <f t="shared" si="43"/>
        <v>0</v>
      </c>
      <c r="AO155">
        <f t="shared" si="50"/>
        <v>0</v>
      </c>
      <c r="AP155">
        <f t="shared" si="51"/>
        <v>0</v>
      </c>
      <c r="AQ155">
        <f t="shared" si="55"/>
        <v>0</v>
      </c>
      <c r="AR155">
        <f t="shared" si="52"/>
        <v>7718359.29251081</v>
      </c>
      <c r="AS155">
        <f t="shared" si="44"/>
        <v>96479.4911563852</v>
      </c>
      <c r="AT155">
        <f t="shared" si="45"/>
        <v>0.0125</v>
      </c>
      <c r="AW155">
        <v>163.3</v>
      </c>
      <c r="AX155">
        <f t="shared" si="38"/>
        <v>0</v>
      </c>
      <c r="AY155">
        <f t="shared" si="46"/>
        <v>0</v>
      </c>
      <c r="AZ155">
        <f t="shared" si="53"/>
        <v>0</v>
      </c>
      <c r="BA155">
        <f t="shared" si="54"/>
        <v>0</v>
      </c>
      <c r="BB155">
        <f t="shared" si="47"/>
        <v>8867861.29797591</v>
      </c>
      <c r="BC155">
        <f t="shared" si="39"/>
        <v>110848.266224699</v>
      </c>
      <c r="BD155">
        <f t="shared" si="40"/>
        <v>0.0125</v>
      </c>
      <c r="BG155">
        <f t="shared" si="48"/>
        <v>0</v>
      </c>
      <c r="BH155">
        <f t="shared" si="49"/>
        <v>7170079.31508434</v>
      </c>
      <c r="BI155">
        <f t="shared" si="41"/>
        <v>89625.9914385543</v>
      </c>
      <c r="BJ155">
        <f t="shared" si="42"/>
        <v>0.0125</v>
      </c>
    </row>
    <row r="156" spans="39:62">
      <c r="AM156">
        <v>65.82</v>
      </c>
      <c r="AN156">
        <f t="shared" si="43"/>
        <v>0</v>
      </c>
      <c r="AO156">
        <f t="shared" si="50"/>
        <v>0</v>
      </c>
      <c r="AP156">
        <f t="shared" si="51"/>
        <v>0</v>
      </c>
      <c r="AQ156">
        <f t="shared" si="55"/>
        <v>0</v>
      </c>
      <c r="AR156">
        <f t="shared" si="52"/>
        <v>7718359.29251081</v>
      </c>
      <c r="AS156">
        <f t="shared" si="44"/>
        <v>96479.4911563852</v>
      </c>
      <c r="AT156">
        <f t="shared" si="45"/>
        <v>0.0125</v>
      </c>
      <c r="AW156">
        <v>163.13</v>
      </c>
      <c r="AX156">
        <f t="shared" si="38"/>
        <v>0</v>
      </c>
      <c r="AY156">
        <f t="shared" si="46"/>
        <v>0</v>
      </c>
      <c r="AZ156">
        <f t="shared" si="53"/>
        <v>0</v>
      </c>
      <c r="BA156">
        <f t="shared" si="54"/>
        <v>0</v>
      </c>
      <c r="BB156">
        <f t="shared" si="47"/>
        <v>8867861.29797591</v>
      </c>
      <c r="BC156">
        <f t="shared" si="39"/>
        <v>110848.266224699</v>
      </c>
      <c r="BD156">
        <f t="shared" si="40"/>
        <v>0.0125</v>
      </c>
      <c r="BG156">
        <f t="shared" si="48"/>
        <v>0</v>
      </c>
      <c r="BH156">
        <f t="shared" si="49"/>
        <v>7170079.31508434</v>
      </c>
      <c r="BI156">
        <f t="shared" si="41"/>
        <v>89625.9914385543</v>
      </c>
      <c r="BJ156">
        <f t="shared" si="42"/>
        <v>0.0125</v>
      </c>
    </row>
    <row r="157" spans="39:62">
      <c r="AM157">
        <v>65.83</v>
      </c>
      <c r="AN157">
        <f t="shared" si="43"/>
        <v>0</v>
      </c>
      <c r="AO157">
        <f t="shared" si="50"/>
        <v>0</v>
      </c>
      <c r="AP157">
        <f t="shared" si="51"/>
        <v>0</v>
      </c>
      <c r="AQ157">
        <f t="shared" si="55"/>
        <v>0</v>
      </c>
      <c r="AR157">
        <f t="shared" si="52"/>
        <v>7718359.29251081</v>
      </c>
      <c r="AS157">
        <f t="shared" si="44"/>
        <v>96479.4911563852</v>
      </c>
      <c r="AT157">
        <f t="shared" si="45"/>
        <v>0.0125</v>
      </c>
      <c r="AW157">
        <v>163.3</v>
      </c>
      <c r="AX157">
        <f t="shared" si="38"/>
        <v>0</v>
      </c>
      <c r="AY157">
        <f t="shared" si="46"/>
        <v>0</v>
      </c>
      <c r="AZ157">
        <f t="shared" si="53"/>
        <v>0</v>
      </c>
      <c r="BA157">
        <f t="shared" si="54"/>
        <v>0</v>
      </c>
      <c r="BB157">
        <f t="shared" si="47"/>
        <v>8867861.29797591</v>
      </c>
      <c r="BC157">
        <f t="shared" si="39"/>
        <v>110848.266224699</v>
      </c>
      <c r="BD157">
        <f t="shared" si="40"/>
        <v>0.0125</v>
      </c>
      <c r="BG157">
        <f t="shared" si="48"/>
        <v>0</v>
      </c>
      <c r="BH157">
        <f t="shared" si="49"/>
        <v>7170079.31508434</v>
      </c>
      <c r="BI157">
        <f t="shared" si="41"/>
        <v>89625.9914385543</v>
      </c>
      <c r="BJ157">
        <f t="shared" si="42"/>
        <v>0.0125</v>
      </c>
    </row>
    <row r="158" spans="39:62">
      <c r="AM158">
        <v>65.47</v>
      </c>
      <c r="AN158">
        <f t="shared" si="43"/>
        <v>0</v>
      </c>
      <c r="AO158">
        <f t="shared" si="50"/>
        <v>0</v>
      </c>
      <c r="AP158">
        <f t="shared" si="51"/>
        <v>0</v>
      </c>
      <c r="AQ158">
        <f t="shared" si="55"/>
        <v>0</v>
      </c>
      <c r="AR158">
        <f t="shared" si="52"/>
        <v>7718359.29251081</v>
      </c>
      <c r="AS158">
        <f t="shared" si="44"/>
        <v>96479.4911563852</v>
      </c>
      <c r="AT158">
        <f t="shared" si="45"/>
        <v>0.0125</v>
      </c>
      <c r="AW158">
        <v>163.13</v>
      </c>
      <c r="AX158">
        <f t="shared" si="38"/>
        <v>0</v>
      </c>
      <c r="AY158">
        <f t="shared" si="46"/>
        <v>0</v>
      </c>
      <c r="AZ158">
        <f t="shared" si="53"/>
        <v>0</v>
      </c>
      <c r="BA158">
        <f t="shared" si="54"/>
        <v>0</v>
      </c>
      <c r="BB158">
        <f t="shared" si="47"/>
        <v>8867861.29797591</v>
      </c>
      <c r="BC158">
        <f t="shared" si="39"/>
        <v>110848.266224699</v>
      </c>
      <c r="BD158">
        <f t="shared" si="40"/>
        <v>0.0125</v>
      </c>
      <c r="BG158">
        <f t="shared" si="48"/>
        <v>0</v>
      </c>
      <c r="BH158">
        <f t="shared" si="49"/>
        <v>7170079.31508434</v>
      </c>
      <c r="BI158">
        <f t="shared" si="41"/>
        <v>89625.9914385543</v>
      </c>
      <c r="BJ158">
        <f t="shared" si="42"/>
        <v>0.0125</v>
      </c>
    </row>
    <row r="159" spans="39:62">
      <c r="AM159">
        <v>65.47</v>
      </c>
      <c r="AN159">
        <f t="shared" si="43"/>
        <v>0</v>
      </c>
      <c r="AO159">
        <f t="shared" si="50"/>
        <v>0</v>
      </c>
      <c r="AP159">
        <f t="shared" si="51"/>
        <v>0</v>
      </c>
      <c r="AQ159">
        <f t="shared" si="55"/>
        <v>0</v>
      </c>
      <c r="AR159">
        <f t="shared" si="52"/>
        <v>7718359.29251081</v>
      </c>
      <c r="AS159">
        <f t="shared" si="44"/>
        <v>96479.4911563852</v>
      </c>
      <c r="AT159">
        <f t="shared" si="45"/>
        <v>0.0125</v>
      </c>
      <c r="AW159">
        <v>163.9</v>
      </c>
      <c r="AX159">
        <f t="shared" si="38"/>
        <v>0</v>
      </c>
      <c r="AY159">
        <f t="shared" si="46"/>
        <v>0</v>
      </c>
      <c r="AZ159">
        <f t="shared" si="53"/>
        <v>0</v>
      </c>
      <c r="BA159">
        <f t="shared" si="54"/>
        <v>0</v>
      </c>
      <c r="BB159">
        <f t="shared" si="47"/>
        <v>8867861.29797591</v>
      </c>
      <c r="BC159">
        <f t="shared" si="39"/>
        <v>110848.266224699</v>
      </c>
      <c r="BD159">
        <f t="shared" si="40"/>
        <v>0.0125</v>
      </c>
      <c r="BG159">
        <f t="shared" si="48"/>
        <v>0</v>
      </c>
      <c r="BH159">
        <f t="shared" si="49"/>
        <v>7170079.31508434</v>
      </c>
      <c r="BI159">
        <f t="shared" si="41"/>
        <v>89625.9914385543</v>
      </c>
      <c r="BJ159">
        <f t="shared" si="42"/>
        <v>0.0125</v>
      </c>
    </row>
    <row r="160" spans="39:62">
      <c r="AM160">
        <v>65.455</v>
      </c>
      <c r="AN160">
        <f t="shared" si="43"/>
        <v>0</v>
      </c>
      <c r="AO160">
        <f t="shared" si="50"/>
        <v>0</v>
      </c>
      <c r="AP160">
        <f t="shared" si="51"/>
        <v>0</v>
      </c>
      <c r="AQ160">
        <f t="shared" si="55"/>
        <v>0</v>
      </c>
      <c r="AR160">
        <f t="shared" si="52"/>
        <v>7718359.29251081</v>
      </c>
      <c r="AS160">
        <f t="shared" si="44"/>
        <v>96479.4911563852</v>
      </c>
      <c r="AT160">
        <f t="shared" si="45"/>
        <v>0.0125</v>
      </c>
      <c r="AW160">
        <v>164.11</v>
      </c>
      <c r="AX160">
        <f t="shared" si="38"/>
        <v>0</v>
      </c>
      <c r="AY160">
        <f t="shared" si="46"/>
        <v>0</v>
      </c>
      <c r="AZ160">
        <f t="shared" si="53"/>
        <v>0</v>
      </c>
      <c r="BA160">
        <f t="shared" si="54"/>
        <v>0</v>
      </c>
      <c r="BB160">
        <f t="shared" si="47"/>
        <v>8867861.29797591</v>
      </c>
      <c r="BC160">
        <f t="shared" si="39"/>
        <v>110848.266224699</v>
      </c>
      <c r="BD160">
        <f t="shared" si="40"/>
        <v>0.0125</v>
      </c>
      <c r="BG160">
        <f t="shared" si="48"/>
        <v>0</v>
      </c>
      <c r="BH160">
        <f t="shared" si="49"/>
        <v>7170079.31508434</v>
      </c>
      <c r="BI160">
        <f t="shared" si="41"/>
        <v>89625.9914385543</v>
      </c>
      <c r="BJ160">
        <f t="shared" si="42"/>
        <v>0.0125</v>
      </c>
    </row>
    <row r="161" spans="39:62">
      <c r="AM161">
        <v>65.005</v>
      </c>
      <c r="AN161">
        <f t="shared" si="43"/>
        <v>0</v>
      </c>
      <c r="AO161">
        <f t="shared" si="50"/>
        <v>0</v>
      </c>
      <c r="AP161">
        <f t="shared" si="51"/>
        <v>0</v>
      </c>
      <c r="AQ161">
        <f t="shared" si="55"/>
        <v>0</v>
      </c>
      <c r="AR161">
        <f t="shared" si="52"/>
        <v>7718359.29251081</v>
      </c>
      <c r="AS161">
        <f t="shared" si="44"/>
        <v>96479.4911563852</v>
      </c>
      <c r="AT161">
        <f t="shared" si="45"/>
        <v>0.0125</v>
      </c>
      <c r="AW161">
        <v>164.54</v>
      </c>
      <c r="AX161">
        <f t="shared" si="38"/>
        <v>0</v>
      </c>
      <c r="AY161">
        <f t="shared" si="46"/>
        <v>0</v>
      </c>
      <c r="AZ161">
        <f t="shared" si="53"/>
        <v>0</v>
      </c>
      <c r="BA161">
        <f t="shared" si="54"/>
        <v>0</v>
      </c>
      <c r="BB161">
        <f t="shared" si="47"/>
        <v>8867861.29797591</v>
      </c>
      <c r="BC161">
        <f t="shared" si="39"/>
        <v>110848.266224699</v>
      </c>
      <c r="BD161">
        <f t="shared" si="40"/>
        <v>0.0125</v>
      </c>
      <c r="BG161">
        <f t="shared" si="48"/>
        <v>0</v>
      </c>
      <c r="BH161">
        <f t="shared" si="49"/>
        <v>7170079.31508434</v>
      </c>
      <c r="BI161">
        <f t="shared" si="41"/>
        <v>89625.9914385543</v>
      </c>
      <c r="BJ161">
        <f t="shared" si="42"/>
        <v>0.0125</v>
      </c>
    </row>
    <row r="162" spans="39:62">
      <c r="AM162">
        <v>64.865</v>
      </c>
      <c r="AN162">
        <f t="shared" si="43"/>
        <v>0</v>
      </c>
      <c r="AO162">
        <f t="shared" si="50"/>
        <v>0</v>
      </c>
      <c r="AP162">
        <f t="shared" si="51"/>
        <v>0</v>
      </c>
      <c r="AQ162">
        <f t="shared" si="55"/>
        <v>0</v>
      </c>
      <c r="AR162">
        <f t="shared" si="52"/>
        <v>7718359.29251081</v>
      </c>
      <c r="AS162">
        <f t="shared" si="44"/>
        <v>96479.4911563852</v>
      </c>
      <c r="AT162">
        <f t="shared" si="45"/>
        <v>0.0125</v>
      </c>
      <c r="AW162">
        <v>164.2</v>
      </c>
      <c r="AX162">
        <f t="shared" si="38"/>
        <v>0</v>
      </c>
      <c r="AY162">
        <f t="shared" si="46"/>
        <v>0</v>
      </c>
      <c r="AZ162">
        <f t="shared" si="53"/>
        <v>0</v>
      </c>
      <c r="BA162">
        <f t="shared" si="54"/>
        <v>0</v>
      </c>
      <c r="BB162">
        <f t="shared" si="47"/>
        <v>8867861.29797591</v>
      </c>
      <c r="BC162">
        <f t="shared" si="39"/>
        <v>110848.266224699</v>
      </c>
      <c r="BD162">
        <f t="shared" si="40"/>
        <v>0.0125</v>
      </c>
      <c r="BG162">
        <f t="shared" si="48"/>
        <v>0</v>
      </c>
      <c r="BH162">
        <f t="shared" si="49"/>
        <v>7170079.31508434</v>
      </c>
      <c r="BI162">
        <f t="shared" si="41"/>
        <v>89625.9914385543</v>
      </c>
      <c r="BJ162">
        <f t="shared" si="42"/>
        <v>0.0125</v>
      </c>
    </row>
    <row r="163" spans="39:62">
      <c r="AM163">
        <v>64.69</v>
      </c>
      <c r="AN163">
        <f t="shared" si="43"/>
        <v>0</v>
      </c>
      <c r="AO163">
        <f t="shared" si="50"/>
        <v>0</v>
      </c>
      <c r="AP163">
        <f t="shared" si="51"/>
        <v>0</v>
      </c>
      <c r="AQ163">
        <f t="shared" si="55"/>
        <v>0</v>
      </c>
      <c r="AR163">
        <f t="shared" si="52"/>
        <v>7718359.29251081</v>
      </c>
      <c r="AS163">
        <f t="shared" si="44"/>
        <v>96479.4911563852</v>
      </c>
      <c r="AT163">
        <f t="shared" si="45"/>
        <v>0.0125</v>
      </c>
      <c r="AW163">
        <v>163.85</v>
      </c>
      <c r="AX163">
        <f t="shared" si="38"/>
        <v>0</v>
      </c>
      <c r="AY163">
        <f t="shared" si="46"/>
        <v>0</v>
      </c>
      <c r="AZ163">
        <f t="shared" si="53"/>
        <v>0</v>
      </c>
      <c r="BA163">
        <f t="shared" si="54"/>
        <v>0</v>
      </c>
      <c r="BB163">
        <f t="shared" si="47"/>
        <v>8867861.29797591</v>
      </c>
      <c r="BC163">
        <f t="shared" si="39"/>
        <v>110848.266224699</v>
      </c>
      <c r="BD163">
        <f t="shared" si="40"/>
        <v>0.0125</v>
      </c>
      <c r="BG163">
        <f t="shared" si="48"/>
        <v>0</v>
      </c>
      <c r="BH163">
        <f t="shared" si="49"/>
        <v>7170079.31508434</v>
      </c>
      <c r="BI163">
        <f t="shared" si="41"/>
        <v>89625.9914385543</v>
      </c>
      <c r="BJ163">
        <f t="shared" si="42"/>
        <v>0.0125</v>
      </c>
    </row>
    <row r="164" spans="39:62">
      <c r="AM164">
        <v>64.325</v>
      </c>
      <c r="AN164">
        <f t="shared" si="43"/>
        <v>0</v>
      </c>
      <c r="AO164">
        <f t="shared" si="50"/>
        <v>0</v>
      </c>
      <c r="AP164">
        <f t="shared" si="51"/>
        <v>0</v>
      </c>
      <c r="AQ164">
        <f t="shared" si="55"/>
        <v>0</v>
      </c>
      <c r="AR164">
        <f t="shared" si="52"/>
        <v>7718359.29251081</v>
      </c>
      <c r="AS164">
        <f t="shared" si="44"/>
        <v>96479.4911563852</v>
      </c>
      <c r="AT164">
        <f t="shared" si="45"/>
        <v>0.0125</v>
      </c>
      <c r="AW164">
        <v>163.75</v>
      </c>
      <c r="AX164">
        <f t="shared" si="38"/>
        <v>0</v>
      </c>
      <c r="AY164">
        <f t="shared" si="46"/>
        <v>0</v>
      </c>
      <c r="AZ164">
        <f t="shared" si="53"/>
        <v>0</v>
      </c>
      <c r="BA164">
        <f t="shared" si="54"/>
        <v>0</v>
      </c>
      <c r="BB164">
        <f t="shared" si="47"/>
        <v>8867861.29797591</v>
      </c>
      <c r="BC164">
        <f t="shared" si="39"/>
        <v>110848.266224699</v>
      </c>
      <c r="BD164">
        <f t="shared" si="40"/>
        <v>0.0125</v>
      </c>
      <c r="BG164">
        <f t="shared" si="48"/>
        <v>0</v>
      </c>
      <c r="BH164">
        <f t="shared" si="49"/>
        <v>7170079.31508434</v>
      </c>
      <c r="BI164">
        <f t="shared" si="41"/>
        <v>89625.9914385543</v>
      </c>
      <c r="BJ164">
        <f t="shared" si="42"/>
        <v>0.0125</v>
      </c>
    </row>
    <row r="165" spans="39:62">
      <c r="AM165">
        <v>64.02</v>
      </c>
      <c r="AN165">
        <f t="shared" si="43"/>
        <v>0</v>
      </c>
      <c r="AO165">
        <f t="shared" si="50"/>
        <v>0</v>
      </c>
      <c r="AP165">
        <f t="shared" si="51"/>
        <v>0</v>
      </c>
      <c r="AQ165">
        <f t="shared" si="55"/>
        <v>0</v>
      </c>
      <c r="AR165">
        <f t="shared" si="52"/>
        <v>7718359.29251081</v>
      </c>
      <c r="AS165">
        <f t="shared" si="44"/>
        <v>96479.4911563852</v>
      </c>
      <c r="AT165">
        <f t="shared" si="45"/>
        <v>0.0125</v>
      </c>
      <c r="AW165">
        <v>163.95</v>
      </c>
      <c r="AX165">
        <f t="shared" si="38"/>
        <v>0</v>
      </c>
      <c r="AY165">
        <f t="shared" si="46"/>
        <v>0</v>
      </c>
      <c r="AZ165">
        <f t="shared" si="53"/>
        <v>0</v>
      </c>
      <c r="BA165">
        <f t="shared" si="54"/>
        <v>0</v>
      </c>
      <c r="BB165">
        <f t="shared" si="47"/>
        <v>8867861.29797591</v>
      </c>
      <c r="BC165">
        <f t="shared" si="39"/>
        <v>110848.266224699</v>
      </c>
      <c r="BD165">
        <f t="shared" si="40"/>
        <v>0.0125</v>
      </c>
      <c r="BG165">
        <f t="shared" si="48"/>
        <v>0</v>
      </c>
      <c r="BH165">
        <f t="shared" si="49"/>
        <v>7170079.31508434</v>
      </c>
      <c r="BI165">
        <f t="shared" si="41"/>
        <v>89625.9914385543</v>
      </c>
      <c r="BJ165">
        <f t="shared" si="42"/>
        <v>0.0125</v>
      </c>
    </row>
    <row r="166" spans="39:62">
      <c r="AM166">
        <v>64.115</v>
      </c>
      <c r="AN166">
        <f t="shared" si="43"/>
        <v>0</v>
      </c>
      <c r="AO166">
        <f t="shared" si="50"/>
        <v>0</v>
      </c>
      <c r="AP166">
        <f t="shared" si="51"/>
        <v>0</v>
      </c>
      <c r="AQ166">
        <f t="shared" si="55"/>
        <v>0</v>
      </c>
      <c r="AR166">
        <f t="shared" si="52"/>
        <v>7718359.29251081</v>
      </c>
      <c r="AS166">
        <f t="shared" si="44"/>
        <v>96479.4911563852</v>
      </c>
      <c r="AT166">
        <f t="shared" si="45"/>
        <v>0.0125</v>
      </c>
      <c r="AW166">
        <v>164.36</v>
      </c>
      <c r="AX166">
        <f t="shared" si="38"/>
        <v>0</v>
      </c>
      <c r="AY166">
        <f t="shared" si="46"/>
        <v>0</v>
      </c>
      <c r="AZ166">
        <f t="shared" si="53"/>
        <v>0</v>
      </c>
      <c r="BA166">
        <f t="shared" si="54"/>
        <v>0</v>
      </c>
      <c r="BB166">
        <f t="shared" si="47"/>
        <v>8867861.29797591</v>
      </c>
      <c r="BC166">
        <f t="shared" si="39"/>
        <v>110848.266224699</v>
      </c>
      <c r="BD166">
        <f t="shared" si="40"/>
        <v>0.0125</v>
      </c>
      <c r="BG166">
        <f t="shared" si="48"/>
        <v>0</v>
      </c>
      <c r="BH166">
        <f t="shared" si="49"/>
        <v>7170079.31508434</v>
      </c>
      <c r="BI166">
        <f t="shared" si="41"/>
        <v>89625.9914385543</v>
      </c>
      <c r="BJ166">
        <f t="shared" si="42"/>
        <v>0.0125</v>
      </c>
    </row>
    <row r="167" spans="39:62">
      <c r="AM167">
        <v>64.215</v>
      </c>
      <c r="AN167">
        <f t="shared" si="43"/>
        <v>0</v>
      </c>
      <c r="AO167">
        <f t="shared" si="50"/>
        <v>0</v>
      </c>
      <c r="AP167">
        <f t="shared" si="51"/>
        <v>0</v>
      </c>
      <c r="AQ167">
        <f t="shared" si="55"/>
        <v>0</v>
      </c>
      <c r="AR167">
        <f t="shared" si="52"/>
        <v>7718359.29251081</v>
      </c>
      <c r="AS167">
        <f t="shared" si="44"/>
        <v>96479.4911563852</v>
      </c>
      <c r="AT167">
        <f t="shared" si="45"/>
        <v>0.0125</v>
      </c>
      <c r="AW167">
        <v>164.44</v>
      </c>
      <c r="AX167">
        <f t="shared" si="38"/>
        <v>0</v>
      </c>
      <c r="AY167">
        <f t="shared" si="46"/>
        <v>0</v>
      </c>
      <c r="AZ167">
        <f t="shared" si="53"/>
        <v>0</v>
      </c>
      <c r="BA167">
        <f t="shared" si="54"/>
        <v>0</v>
      </c>
      <c r="BB167">
        <f t="shared" si="47"/>
        <v>8867861.29797591</v>
      </c>
      <c r="BC167">
        <f t="shared" si="39"/>
        <v>110848.266224699</v>
      </c>
      <c r="BD167">
        <f t="shared" si="40"/>
        <v>0.0125</v>
      </c>
      <c r="BG167">
        <f t="shared" si="48"/>
        <v>0</v>
      </c>
      <c r="BH167">
        <f t="shared" si="49"/>
        <v>7170079.31508434</v>
      </c>
      <c r="BI167">
        <f t="shared" si="41"/>
        <v>89625.9914385543</v>
      </c>
      <c r="BJ167">
        <f t="shared" si="42"/>
        <v>0.0125</v>
      </c>
    </row>
    <row r="168" spans="39:62">
      <c r="AM168">
        <v>64.285</v>
      </c>
      <c r="AN168">
        <f t="shared" si="43"/>
        <v>0</v>
      </c>
      <c r="AO168">
        <f t="shared" si="50"/>
        <v>0</v>
      </c>
      <c r="AP168">
        <f t="shared" si="51"/>
        <v>0</v>
      </c>
      <c r="AQ168">
        <f t="shared" si="55"/>
        <v>0</v>
      </c>
      <c r="AR168">
        <f t="shared" si="52"/>
        <v>7718359.29251081</v>
      </c>
      <c r="AS168">
        <f t="shared" si="44"/>
        <v>96479.4911563852</v>
      </c>
      <c r="AT168">
        <f t="shared" si="45"/>
        <v>0.0125</v>
      </c>
      <c r="AW168">
        <v>164.44</v>
      </c>
      <c r="AX168">
        <f t="shared" si="38"/>
        <v>0</v>
      </c>
      <c r="AY168">
        <f t="shared" si="46"/>
        <v>0</v>
      </c>
      <c r="AZ168">
        <f t="shared" si="53"/>
        <v>0</v>
      </c>
      <c r="BA168">
        <f t="shared" si="54"/>
        <v>0</v>
      </c>
      <c r="BB168">
        <f t="shared" si="47"/>
        <v>8867861.29797591</v>
      </c>
      <c r="BC168">
        <f t="shared" si="39"/>
        <v>110848.266224699</v>
      </c>
      <c r="BD168">
        <f t="shared" si="40"/>
        <v>0.0125</v>
      </c>
      <c r="BG168">
        <f t="shared" si="48"/>
        <v>0</v>
      </c>
      <c r="BH168">
        <f t="shared" si="49"/>
        <v>7170079.31508434</v>
      </c>
      <c r="BI168">
        <f t="shared" si="41"/>
        <v>89625.9914385543</v>
      </c>
      <c r="BJ168">
        <f t="shared" si="42"/>
        <v>0.0125</v>
      </c>
    </row>
    <row r="169" spans="39:62">
      <c r="AM169">
        <v>64.76</v>
      </c>
      <c r="AN169">
        <f t="shared" si="43"/>
        <v>0</v>
      </c>
      <c r="AO169">
        <f t="shared" si="50"/>
        <v>0</v>
      </c>
      <c r="AP169">
        <f t="shared" si="51"/>
        <v>0</v>
      </c>
      <c r="AQ169">
        <f t="shared" si="55"/>
        <v>0</v>
      </c>
      <c r="AR169">
        <f t="shared" si="52"/>
        <v>7718359.29251081</v>
      </c>
      <c r="AS169">
        <f t="shared" si="44"/>
        <v>96479.4911563852</v>
      </c>
      <c r="AT169">
        <f t="shared" si="45"/>
        <v>0.0125</v>
      </c>
      <c r="AW169">
        <v>164.85</v>
      </c>
      <c r="AX169">
        <f t="shared" si="38"/>
        <v>0</v>
      </c>
      <c r="AY169">
        <f t="shared" si="46"/>
        <v>0</v>
      </c>
      <c r="AZ169">
        <f t="shared" si="53"/>
        <v>0</v>
      </c>
      <c r="BA169">
        <f t="shared" si="54"/>
        <v>0</v>
      </c>
      <c r="BB169">
        <f t="shared" si="47"/>
        <v>8867861.29797591</v>
      </c>
      <c r="BC169">
        <f t="shared" si="39"/>
        <v>110848.266224699</v>
      </c>
      <c r="BD169">
        <f t="shared" si="40"/>
        <v>0.0125</v>
      </c>
      <c r="BG169">
        <f t="shared" si="48"/>
        <v>0</v>
      </c>
      <c r="BH169">
        <f t="shared" si="49"/>
        <v>7170079.31508434</v>
      </c>
      <c r="BI169">
        <f t="shared" si="41"/>
        <v>89625.9914385543</v>
      </c>
      <c r="BJ169">
        <f t="shared" si="42"/>
        <v>0.0125</v>
      </c>
    </row>
    <row r="170" spans="39:62">
      <c r="AM170">
        <v>64.27</v>
      </c>
      <c r="AN170">
        <f t="shared" si="43"/>
        <v>0</v>
      </c>
      <c r="AO170">
        <f t="shared" si="50"/>
        <v>0</v>
      </c>
      <c r="AP170">
        <f t="shared" si="51"/>
        <v>0</v>
      </c>
      <c r="AQ170">
        <f t="shared" si="55"/>
        <v>0</v>
      </c>
      <c r="AR170">
        <f t="shared" si="52"/>
        <v>7718359.29251081</v>
      </c>
      <c r="AS170">
        <f t="shared" si="44"/>
        <v>96479.4911563852</v>
      </c>
      <c r="AT170">
        <f t="shared" si="45"/>
        <v>0.0125</v>
      </c>
      <c r="AW170">
        <v>164.75</v>
      </c>
      <c r="AX170">
        <f t="shared" si="38"/>
        <v>0</v>
      </c>
      <c r="AY170">
        <f t="shared" si="46"/>
        <v>0</v>
      </c>
      <c r="AZ170">
        <f t="shared" si="53"/>
        <v>0</v>
      </c>
      <c r="BA170">
        <f t="shared" si="54"/>
        <v>0</v>
      </c>
      <c r="BB170">
        <f t="shared" si="47"/>
        <v>8867861.29797591</v>
      </c>
      <c r="BC170">
        <f t="shared" si="39"/>
        <v>110848.266224699</v>
      </c>
      <c r="BD170">
        <f t="shared" si="40"/>
        <v>0.0125</v>
      </c>
      <c r="BG170">
        <f t="shared" si="48"/>
        <v>0</v>
      </c>
      <c r="BH170">
        <f t="shared" si="49"/>
        <v>7170079.31508434</v>
      </c>
      <c r="BI170">
        <f t="shared" si="41"/>
        <v>89625.9914385543</v>
      </c>
      <c r="BJ170">
        <f t="shared" si="42"/>
        <v>0.0125</v>
      </c>
    </row>
    <row r="171" spans="39:62">
      <c r="AM171">
        <v>64.24</v>
      </c>
      <c r="AN171">
        <f t="shared" si="43"/>
        <v>0</v>
      </c>
      <c r="AO171">
        <f t="shared" si="50"/>
        <v>0</v>
      </c>
      <c r="AP171">
        <f t="shared" si="51"/>
        <v>0</v>
      </c>
      <c r="AQ171">
        <f t="shared" si="55"/>
        <v>0</v>
      </c>
      <c r="AR171">
        <f t="shared" si="52"/>
        <v>7718359.29251081</v>
      </c>
      <c r="AS171">
        <f t="shared" si="44"/>
        <v>96479.4911563852</v>
      </c>
      <c r="AT171">
        <f t="shared" si="45"/>
        <v>0.0125</v>
      </c>
      <c r="AW171">
        <v>164.77</v>
      </c>
      <c r="AX171">
        <f t="shared" si="38"/>
        <v>0</v>
      </c>
      <c r="AY171">
        <f t="shared" si="46"/>
        <v>0</v>
      </c>
      <c r="AZ171">
        <f t="shared" si="53"/>
        <v>0</v>
      </c>
      <c r="BA171">
        <f t="shared" si="54"/>
        <v>0</v>
      </c>
      <c r="BB171">
        <f t="shared" si="47"/>
        <v>8867861.29797591</v>
      </c>
      <c r="BC171">
        <f t="shared" si="39"/>
        <v>110848.266224699</v>
      </c>
      <c r="BD171">
        <f t="shared" si="40"/>
        <v>0.0125</v>
      </c>
      <c r="BG171">
        <f t="shared" si="48"/>
        <v>0</v>
      </c>
      <c r="BH171">
        <f t="shared" si="49"/>
        <v>7170079.31508434</v>
      </c>
      <c r="BI171">
        <f t="shared" si="41"/>
        <v>89625.9914385543</v>
      </c>
      <c r="BJ171">
        <f t="shared" si="42"/>
        <v>0.0125</v>
      </c>
    </row>
    <row r="172" spans="39:62">
      <c r="AM172">
        <v>64.285</v>
      </c>
      <c r="AN172">
        <f t="shared" si="43"/>
        <v>0</v>
      </c>
      <c r="AO172">
        <f t="shared" si="50"/>
        <v>0</v>
      </c>
      <c r="AP172">
        <f t="shared" si="51"/>
        <v>0</v>
      </c>
      <c r="AQ172">
        <f t="shared" si="55"/>
        <v>0</v>
      </c>
      <c r="AR172">
        <f t="shared" si="52"/>
        <v>7718359.29251081</v>
      </c>
      <c r="AS172">
        <f t="shared" si="44"/>
        <v>96479.4911563852</v>
      </c>
      <c r="AT172">
        <f t="shared" si="45"/>
        <v>0.0125</v>
      </c>
      <c r="AW172">
        <v>164.96</v>
      </c>
      <c r="AX172">
        <f t="shared" si="38"/>
        <v>0</v>
      </c>
      <c r="AY172">
        <f t="shared" si="46"/>
        <v>0</v>
      </c>
      <c r="AZ172">
        <f t="shared" si="53"/>
        <v>0</v>
      </c>
      <c r="BA172">
        <f t="shared" si="54"/>
        <v>0</v>
      </c>
      <c r="BB172">
        <f t="shared" si="47"/>
        <v>8867861.29797591</v>
      </c>
      <c r="BC172">
        <f t="shared" si="39"/>
        <v>110848.266224699</v>
      </c>
      <c r="BD172">
        <f t="shared" si="40"/>
        <v>0.0125</v>
      </c>
      <c r="BG172">
        <f t="shared" si="48"/>
        <v>0</v>
      </c>
      <c r="BH172">
        <f t="shared" si="49"/>
        <v>7170079.31508434</v>
      </c>
      <c r="BI172">
        <f t="shared" si="41"/>
        <v>89625.9914385543</v>
      </c>
      <c r="BJ172">
        <f t="shared" si="42"/>
        <v>0.0125</v>
      </c>
    </row>
    <row r="173" spans="39:62">
      <c r="AM173">
        <v>64.8</v>
      </c>
      <c r="AN173">
        <f t="shared" si="43"/>
        <v>0</v>
      </c>
      <c r="AO173">
        <f t="shared" si="50"/>
        <v>0</v>
      </c>
      <c r="AP173">
        <f t="shared" si="51"/>
        <v>0</v>
      </c>
      <c r="AQ173">
        <f t="shared" si="55"/>
        <v>0</v>
      </c>
      <c r="AR173">
        <f t="shared" si="52"/>
        <v>7718359.29251081</v>
      </c>
      <c r="AS173">
        <f t="shared" si="44"/>
        <v>96479.4911563852</v>
      </c>
      <c r="AT173">
        <f t="shared" si="45"/>
        <v>0.0125</v>
      </c>
      <c r="AW173">
        <v>165.43</v>
      </c>
      <c r="AX173">
        <f t="shared" si="38"/>
        <v>0</v>
      </c>
      <c r="AY173">
        <f t="shared" si="46"/>
        <v>0</v>
      </c>
      <c r="AZ173">
        <f t="shared" si="53"/>
        <v>0</v>
      </c>
      <c r="BA173">
        <f t="shared" si="54"/>
        <v>0</v>
      </c>
      <c r="BB173">
        <f t="shared" si="47"/>
        <v>8867861.29797591</v>
      </c>
      <c r="BC173">
        <f t="shared" si="39"/>
        <v>110848.266224699</v>
      </c>
      <c r="BD173">
        <f t="shared" si="40"/>
        <v>0.0125</v>
      </c>
      <c r="BG173">
        <f t="shared" si="48"/>
        <v>0</v>
      </c>
      <c r="BH173">
        <f t="shared" si="49"/>
        <v>7170079.31508434</v>
      </c>
      <c r="BI173">
        <f t="shared" si="41"/>
        <v>89625.9914385543</v>
      </c>
      <c r="BJ173">
        <f t="shared" si="42"/>
        <v>0.0125</v>
      </c>
    </row>
    <row r="174" spans="39:62">
      <c r="AM174">
        <v>64.86</v>
      </c>
      <c r="AN174">
        <f t="shared" si="43"/>
        <v>0</v>
      </c>
      <c r="AO174">
        <f t="shared" si="50"/>
        <v>0</v>
      </c>
      <c r="AP174">
        <f t="shared" si="51"/>
        <v>0</v>
      </c>
      <c r="AQ174">
        <f t="shared" si="55"/>
        <v>0</v>
      </c>
      <c r="AR174">
        <f t="shared" si="52"/>
        <v>7718359.29251081</v>
      </c>
      <c r="AS174">
        <f t="shared" si="44"/>
        <v>96479.4911563852</v>
      </c>
      <c r="AT174">
        <f t="shared" si="45"/>
        <v>0.0125</v>
      </c>
      <c r="AW174">
        <v>165.14</v>
      </c>
      <c r="AX174">
        <f t="shared" si="38"/>
        <v>0</v>
      </c>
      <c r="AY174">
        <f t="shared" si="46"/>
        <v>0</v>
      </c>
      <c r="AZ174">
        <f t="shared" si="53"/>
        <v>0</v>
      </c>
      <c r="BA174">
        <f t="shared" si="54"/>
        <v>0</v>
      </c>
      <c r="BB174">
        <f t="shared" si="47"/>
        <v>8867861.29797591</v>
      </c>
      <c r="BC174">
        <f t="shared" si="39"/>
        <v>110848.266224699</v>
      </c>
      <c r="BD174">
        <f t="shared" si="40"/>
        <v>0.0125</v>
      </c>
      <c r="BG174">
        <f t="shared" si="48"/>
        <v>0</v>
      </c>
      <c r="BH174">
        <f t="shared" si="49"/>
        <v>7170079.31508434</v>
      </c>
      <c r="BI174">
        <f t="shared" si="41"/>
        <v>89625.9914385543</v>
      </c>
      <c r="BJ174">
        <f t="shared" si="42"/>
        <v>0.0125</v>
      </c>
    </row>
    <row r="175" spans="39:62">
      <c r="AM175">
        <v>64.78</v>
      </c>
      <c r="AN175">
        <f t="shared" si="43"/>
        <v>0</v>
      </c>
      <c r="AO175">
        <f t="shared" si="50"/>
        <v>0</v>
      </c>
      <c r="AP175">
        <f t="shared" si="51"/>
        <v>0</v>
      </c>
      <c r="AQ175">
        <f t="shared" si="55"/>
        <v>0</v>
      </c>
      <c r="AR175">
        <f t="shared" si="52"/>
        <v>7718359.29251081</v>
      </c>
      <c r="AS175">
        <f t="shared" si="44"/>
        <v>96479.4911563852</v>
      </c>
      <c r="AT175">
        <f t="shared" si="45"/>
        <v>0.0125</v>
      </c>
      <c r="AW175">
        <v>165.08</v>
      </c>
      <c r="AX175">
        <f t="shared" si="38"/>
        <v>0</v>
      </c>
      <c r="AY175">
        <f t="shared" si="46"/>
        <v>0</v>
      </c>
      <c r="AZ175">
        <f t="shared" si="53"/>
        <v>0</v>
      </c>
      <c r="BA175">
        <f t="shared" si="54"/>
        <v>0</v>
      </c>
      <c r="BB175">
        <f t="shared" si="47"/>
        <v>8867861.29797591</v>
      </c>
      <c r="BC175">
        <f t="shared" si="39"/>
        <v>110848.266224699</v>
      </c>
      <c r="BD175">
        <f t="shared" si="40"/>
        <v>0.0125</v>
      </c>
      <c r="BG175">
        <f t="shared" si="48"/>
        <v>0</v>
      </c>
      <c r="BH175">
        <f t="shared" si="49"/>
        <v>7170079.31508434</v>
      </c>
      <c r="BI175">
        <f t="shared" si="41"/>
        <v>89625.9914385543</v>
      </c>
      <c r="BJ175">
        <f t="shared" si="42"/>
        <v>0.0125</v>
      </c>
    </row>
    <row r="176" spans="39:62">
      <c r="AM176">
        <v>64.78</v>
      </c>
      <c r="AN176">
        <f t="shared" si="43"/>
        <v>0</v>
      </c>
      <c r="AO176">
        <f t="shared" si="50"/>
        <v>0</v>
      </c>
      <c r="AP176">
        <f t="shared" si="51"/>
        <v>0</v>
      </c>
      <c r="AQ176">
        <f t="shared" si="55"/>
        <v>0</v>
      </c>
      <c r="AR176">
        <f t="shared" si="52"/>
        <v>7718359.29251081</v>
      </c>
      <c r="AS176">
        <f t="shared" si="44"/>
        <v>96479.4911563852</v>
      </c>
      <c r="AT176">
        <f t="shared" si="45"/>
        <v>0.0125</v>
      </c>
      <c r="AW176">
        <v>164.86</v>
      </c>
      <c r="AX176">
        <f t="shared" si="38"/>
        <v>0</v>
      </c>
      <c r="AY176">
        <f t="shared" si="46"/>
        <v>0</v>
      </c>
      <c r="AZ176">
        <f t="shared" si="53"/>
        <v>0</v>
      </c>
      <c r="BA176">
        <f t="shared" si="54"/>
        <v>0</v>
      </c>
      <c r="BB176">
        <f t="shared" si="47"/>
        <v>8867861.29797591</v>
      </c>
      <c r="BC176">
        <f t="shared" si="39"/>
        <v>110848.266224699</v>
      </c>
      <c r="BD176">
        <f t="shared" si="40"/>
        <v>0.0125</v>
      </c>
      <c r="BG176">
        <f t="shared" si="48"/>
        <v>0</v>
      </c>
      <c r="BH176">
        <f t="shared" si="49"/>
        <v>7170079.31508434</v>
      </c>
      <c r="BI176">
        <f t="shared" si="41"/>
        <v>89625.9914385543</v>
      </c>
      <c r="BJ176">
        <f t="shared" si="42"/>
        <v>0.0125</v>
      </c>
    </row>
    <row r="177" spans="39:62">
      <c r="AM177">
        <v>64.545</v>
      </c>
      <c r="AN177">
        <f t="shared" si="43"/>
        <v>0</v>
      </c>
      <c r="AO177">
        <f t="shared" si="50"/>
        <v>0</v>
      </c>
      <c r="AP177">
        <f t="shared" si="51"/>
        <v>0</v>
      </c>
      <c r="AQ177">
        <f t="shared" si="55"/>
        <v>0</v>
      </c>
      <c r="AR177">
        <f t="shared" si="52"/>
        <v>7718359.29251081</v>
      </c>
      <c r="AS177">
        <f t="shared" si="44"/>
        <v>96479.4911563852</v>
      </c>
      <c r="AT177">
        <f t="shared" si="45"/>
        <v>0.0125</v>
      </c>
      <c r="AW177">
        <v>162.16</v>
      </c>
      <c r="AX177">
        <f t="shared" si="38"/>
        <v>0</v>
      </c>
      <c r="AY177">
        <f t="shared" si="46"/>
        <v>0</v>
      </c>
      <c r="AZ177">
        <f t="shared" si="53"/>
        <v>0</v>
      </c>
      <c r="BA177">
        <f t="shared" si="54"/>
        <v>0</v>
      </c>
      <c r="BB177">
        <f t="shared" si="47"/>
        <v>8867861.29797591</v>
      </c>
      <c r="BC177">
        <f t="shared" si="39"/>
        <v>110848.266224699</v>
      </c>
      <c r="BD177">
        <f t="shared" si="40"/>
        <v>0.0125</v>
      </c>
      <c r="BG177">
        <f t="shared" si="48"/>
        <v>0</v>
      </c>
      <c r="BH177">
        <f t="shared" si="49"/>
        <v>7170079.31508434</v>
      </c>
      <c r="BI177">
        <f t="shared" si="41"/>
        <v>89625.9914385543</v>
      </c>
      <c r="BJ177">
        <f t="shared" si="42"/>
        <v>0.0125</v>
      </c>
    </row>
    <row r="178" spans="39:62">
      <c r="AM178">
        <v>63.855</v>
      </c>
      <c r="AN178">
        <f t="shared" si="43"/>
        <v>0</v>
      </c>
      <c r="AO178">
        <f t="shared" si="50"/>
        <v>0</v>
      </c>
      <c r="AP178">
        <f t="shared" si="51"/>
        <v>0</v>
      </c>
      <c r="AQ178">
        <f t="shared" si="55"/>
        <v>0</v>
      </c>
      <c r="AR178">
        <f t="shared" si="52"/>
        <v>7718359.29251081</v>
      </c>
      <c r="AS178">
        <f t="shared" si="44"/>
        <v>96479.4911563852</v>
      </c>
      <c r="AT178">
        <f t="shared" si="45"/>
        <v>0.0125</v>
      </c>
      <c r="AW178">
        <v>162.64</v>
      </c>
      <c r="AX178">
        <f t="shared" si="38"/>
        <v>0</v>
      </c>
      <c r="AY178">
        <f t="shared" si="46"/>
        <v>0</v>
      </c>
      <c r="AZ178">
        <f t="shared" si="53"/>
        <v>0</v>
      </c>
      <c r="BA178">
        <f t="shared" si="54"/>
        <v>0</v>
      </c>
      <c r="BB178">
        <f t="shared" si="47"/>
        <v>8867861.29797591</v>
      </c>
      <c r="BC178">
        <f t="shared" si="39"/>
        <v>110848.266224699</v>
      </c>
      <c r="BD178">
        <f t="shared" si="40"/>
        <v>0.0125</v>
      </c>
      <c r="BG178">
        <f t="shared" si="48"/>
        <v>0</v>
      </c>
      <c r="BH178">
        <f t="shared" si="49"/>
        <v>7170079.31508434</v>
      </c>
      <c r="BI178">
        <f t="shared" si="41"/>
        <v>89625.9914385543</v>
      </c>
      <c r="BJ178">
        <f t="shared" si="42"/>
        <v>0.0125</v>
      </c>
    </row>
    <row r="179" spans="39:62">
      <c r="AM179">
        <v>63.815</v>
      </c>
      <c r="AN179">
        <f t="shared" si="43"/>
        <v>0</v>
      </c>
      <c r="AO179">
        <f t="shared" si="50"/>
        <v>0</v>
      </c>
      <c r="AP179">
        <f t="shared" si="51"/>
        <v>0</v>
      </c>
      <c r="AQ179">
        <f t="shared" si="55"/>
        <v>0</v>
      </c>
      <c r="AR179">
        <f t="shared" si="52"/>
        <v>7718359.29251081</v>
      </c>
      <c r="AS179">
        <f t="shared" si="44"/>
        <v>96479.4911563852</v>
      </c>
      <c r="AT179">
        <f t="shared" si="45"/>
        <v>0.0125</v>
      </c>
      <c r="AW179">
        <v>162.57</v>
      </c>
      <c r="AX179">
        <f t="shared" si="38"/>
        <v>0</v>
      </c>
      <c r="AY179">
        <f t="shared" si="46"/>
        <v>0</v>
      </c>
      <c r="AZ179">
        <f t="shared" si="53"/>
        <v>0</v>
      </c>
      <c r="BA179">
        <f t="shared" si="54"/>
        <v>0</v>
      </c>
      <c r="BB179">
        <f t="shared" si="47"/>
        <v>8867861.29797591</v>
      </c>
      <c r="BC179">
        <f t="shared" si="39"/>
        <v>110848.266224699</v>
      </c>
      <c r="BD179">
        <f t="shared" si="40"/>
        <v>0.0125</v>
      </c>
      <c r="BG179">
        <f t="shared" si="48"/>
        <v>0</v>
      </c>
      <c r="BH179">
        <f t="shared" si="49"/>
        <v>7170079.31508434</v>
      </c>
      <c r="BI179">
        <f t="shared" si="41"/>
        <v>89625.9914385543</v>
      </c>
      <c r="BJ179">
        <f t="shared" si="42"/>
        <v>0.0125</v>
      </c>
    </row>
    <row r="180" spans="39:62">
      <c r="AM180">
        <v>63.805</v>
      </c>
      <c r="AN180">
        <f t="shared" si="43"/>
        <v>0</v>
      </c>
      <c r="AO180">
        <f t="shared" si="50"/>
        <v>0</v>
      </c>
      <c r="AP180">
        <f t="shared" si="51"/>
        <v>0</v>
      </c>
      <c r="AQ180">
        <f t="shared" si="55"/>
        <v>0</v>
      </c>
      <c r="AR180">
        <f t="shared" si="52"/>
        <v>7718359.29251081</v>
      </c>
      <c r="AS180">
        <f t="shared" si="44"/>
        <v>96479.4911563852</v>
      </c>
      <c r="AT180">
        <f t="shared" si="45"/>
        <v>0.0125</v>
      </c>
      <c r="AW180">
        <v>163.18</v>
      </c>
      <c r="AX180">
        <f t="shared" si="38"/>
        <v>0</v>
      </c>
      <c r="AY180">
        <f t="shared" si="46"/>
        <v>0</v>
      </c>
      <c r="AZ180">
        <f t="shared" si="53"/>
        <v>0</v>
      </c>
      <c r="BA180">
        <f t="shared" si="54"/>
        <v>0</v>
      </c>
      <c r="BB180">
        <f t="shared" si="47"/>
        <v>8867861.29797591</v>
      </c>
      <c r="BC180">
        <f t="shared" si="39"/>
        <v>110848.266224699</v>
      </c>
      <c r="BD180">
        <f t="shared" si="40"/>
        <v>0.0125</v>
      </c>
      <c r="BG180">
        <f t="shared" si="48"/>
        <v>0</v>
      </c>
      <c r="BH180">
        <f t="shared" si="49"/>
        <v>7170079.31508434</v>
      </c>
      <c r="BI180">
        <f t="shared" si="41"/>
        <v>89625.9914385543</v>
      </c>
      <c r="BJ180">
        <f t="shared" si="42"/>
        <v>0.0125</v>
      </c>
    </row>
    <row r="181" spans="39:62">
      <c r="AM181">
        <v>63.74</v>
      </c>
      <c r="AN181">
        <f t="shared" si="43"/>
        <v>0</v>
      </c>
      <c r="AO181">
        <f t="shared" si="50"/>
        <v>0</v>
      </c>
      <c r="AP181">
        <f t="shared" si="51"/>
        <v>0</v>
      </c>
      <c r="AQ181">
        <f t="shared" si="55"/>
        <v>0</v>
      </c>
      <c r="AR181">
        <f t="shared" si="52"/>
        <v>7718359.29251081</v>
      </c>
      <c r="AS181">
        <f t="shared" si="44"/>
        <v>96479.4911563852</v>
      </c>
      <c r="AT181">
        <f t="shared" si="45"/>
        <v>0.0125</v>
      </c>
      <c r="AW181">
        <v>162.96</v>
      </c>
      <c r="AX181">
        <f t="shared" si="38"/>
        <v>0</v>
      </c>
      <c r="AY181">
        <f t="shared" si="46"/>
        <v>0</v>
      </c>
      <c r="AZ181">
        <f t="shared" si="53"/>
        <v>0</v>
      </c>
      <c r="BA181">
        <f t="shared" si="54"/>
        <v>0</v>
      </c>
      <c r="BB181">
        <f t="shared" si="47"/>
        <v>8867861.29797591</v>
      </c>
      <c r="BC181">
        <f t="shared" si="39"/>
        <v>110848.266224699</v>
      </c>
      <c r="BD181">
        <f t="shared" si="40"/>
        <v>0.0125</v>
      </c>
      <c r="BG181">
        <f t="shared" si="48"/>
        <v>0</v>
      </c>
      <c r="BH181">
        <f t="shared" si="49"/>
        <v>7170079.31508434</v>
      </c>
      <c r="BI181">
        <f t="shared" si="41"/>
        <v>89625.9914385543</v>
      </c>
      <c r="BJ181">
        <f t="shared" si="42"/>
        <v>0.0125</v>
      </c>
    </row>
    <row r="182" spans="39:62">
      <c r="AM182">
        <v>64.29</v>
      </c>
      <c r="AN182">
        <f t="shared" si="43"/>
        <v>0</v>
      </c>
      <c r="AO182">
        <f t="shared" si="50"/>
        <v>0</v>
      </c>
      <c r="AP182">
        <f t="shared" si="51"/>
        <v>0</v>
      </c>
      <c r="AQ182">
        <f t="shared" si="55"/>
        <v>0</v>
      </c>
      <c r="AR182">
        <f t="shared" si="52"/>
        <v>7718359.29251081</v>
      </c>
      <c r="AS182">
        <f t="shared" si="44"/>
        <v>96479.4911563852</v>
      </c>
      <c r="AT182">
        <f t="shared" si="45"/>
        <v>0.0125</v>
      </c>
      <c r="AW182">
        <v>162.77</v>
      </c>
      <c r="AX182">
        <f t="shared" si="38"/>
        <v>0</v>
      </c>
      <c r="AY182">
        <f t="shared" si="46"/>
        <v>0</v>
      </c>
      <c r="AZ182">
        <f t="shared" si="53"/>
        <v>0</v>
      </c>
      <c r="BA182">
        <f t="shared" si="54"/>
        <v>0</v>
      </c>
      <c r="BB182">
        <f t="shared" si="47"/>
        <v>8867861.29797591</v>
      </c>
      <c r="BC182">
        <f t="shared" si="39"/>
        <v>110848.266224699</v>
      </c>
      <c r="BD182">
        <f t="shared" si="40"/>
        <v>0.0125</v>
      </c>
      <c r="BG182">
        <f t="shared" si="48"/>
        <v>0</v>
      </c>
      <c r="BH182">
        <f t="shared" si="49"/>
        <v>7170079.31508434</v>
      </c>
      <c r="BI182">
        <f t="shared" si="41"/>
        <v>89625.9914385543</v>
      </c>
      <c r="BJ182">
        <f t="shared" si="42"/>
        <v>0.0125</v>
      </c>
    </row>
    <row r="183" spans="39:62">
      <c r="AM183">
        <v>64.255</v>
      </c>
      <c r="AN183">
        <f t="shared" si="43"/>
        <v>0</v>
      </c>
      <c r="AO183">
        <f t="shared" si="50"/>
        <v>0</v>
      </c>
      <c r="AP183">
        <f t="shared" si="51"/>
        <v>0</v>
      </c>
      <c r="AQ183">
        <f t="shared" si="55"/>
        <v>0</v>
      </c>
      <c r="AR183">
        <f t="shared" si="52"/>
        <v>7718359.29251081</v>
      </c>
      <c r="AS183">
        <f t="shared" si="44"/>
        <v>96479.4911563852</v>
      </c>
      <c r="AT183">
        <f t="shared" si="45"/>
        <v>0.0125</v>
      </c>
      <c r="AW183">
        <v>161.87</v>
      </c>
      <c r="AX183">
        <f t="shared" si="38"/>
        <v>0</v>
      </c>
      <c r="AY183">
        <f t="shared" si="46"/>
        <v>0</v>
      </c>
      <c r="AZ183">
        <f t="shared" si="53"/>
        <v>0</v>
      </c>
      <c r="BA183">
        <f t="shared" si="54"/>
        <v>0</v>
      </c>
      <c r="BB183">
        <f t="shared" si="47"/>
        <v>8867861.29797591</v>
      </c>
      <c r="BC183">
        <f t="shared" si="39"/>
        <v>110848.266224699</v>
      </c>
      <c r="BD183">
        <f t="shared" si="40"/>
        <v>0.0125</v>
      </c>
      <c r="BG183">
        <f t="shared" si="48"/>
        <v>0</v>
      </c>
      <c r="BH183">
        <f t="shared" si="49"/>
        <v>7170079.31508434</v>
      </c>
      <c r="BI183">
        <f t="shared" si="41"/>
        <v>89625.9914385543</v>
      </c>
      <c r="BJ183">
        <f t="shared" si="42"/>
        <v>0.0125</v>
      </c>
    </row>
    <row r="184" spans="39:62">
      <c r="AM184">
        <v>64.385</v>
      </c>
      <c r="AN184">
        <f t="shared" si="43"/>
        <v>0</v>
      </c>
      <c r="AO184">
        <f t="shared" si="50"/>
        <v>0</v>
      </c>
      <c r="AP184">
        <f t="shared" si="51"/>
        <v>0</v>
      </c>
      <c r="AQ184">
        <f t="shared" si="55"/>
        <v>0</v>
      </c>
      <c r="AR184">
        <f t="shared" si="52"/>
        <v>7718359.29251081</v>
      </c>
      <c r="AS184">
        <f t="shared" si="44"/>
        <v>96479.4911563852</v>
      </c>
      <c r="AT184">
        <f t="shared" si="45"/>
        <v>0.0125</v>
      </c>
      <c r="AW184">
        <v>161.72</v>
      </c>
      <c r="AX184">
        <f t="shared" si="38"/>
        <v>0</v>
      </c>
      <c r="AY184">
        <f t="shared" si="46"/>
        <v>0</v>
      </c>
      <c r="AZ184">
        <f t="shared" si="53"/>
        <v>0</v>
      </c>
      <c r="BA184">
        <f t="shared" si="54"/>
        <v>0</v>
      </c>
      <c r="BB184">
        <f t="shared" si="47"/>
        <v>8867861.29797591</v>
      </c>
      <c r="BC184">
        <f t="shared" si="39"/>
        <v>110848.266224699</v>
      </c>
      <c r="BD184">
        <f t="shared" si="40"/>
        <v>0.0125</v>
      </c>
      <c r="BG184">
        <f t="shared" si="48"/>
        <v>0</v>
      </c>
      <c r="BH184">
        <f t="shared" si="49"/>
        <v>7170079.31508434</v>
      </c>
      <c r="BI184">
        <f t="shared" si="41"/>
        <v>89625.9914385543</v>
      </c>
      <c r="BJ184">
        <f t="shared" si="42"/>
        <v>0.0125</v>
      </c>
    </row>
    <row r="185" spans="39:62">
      <c r="AM185">
        <v>64.58</v>
      </c>
      <c r="AN185">
        <f t="shared" si="43"/>
        <v>0</v>
      </c>
      <c r="AO185">
        <f t="shared" si="50"/>
        <v>0</v>
      </c>
      <c r="AP185">
        <f t="shared" si="51"/>
        <v>0</v>
      </c>
      <c r="AQ185">
        <f t="shared" si="55"/>
        <v>0</v>
      </c>
      <c r="AR185">
        <f t="shared" si="52"/>
        <v>7718359.29251081</v>
      </c>
      <c r="AS185">
        <f t="shared" si="44"/>
        <v>96479.4911563852</v>
      </c>
      <c r="AT185">
        <f t="shared" si="45"/>
        <v>0.0125</v>
      </c>
      <c r="AW185">
        <v>161.56</v>
      </c>
      <c r="AX185">
        <f t="shared" si="38"/>
        <v>0</v>
      </c>
      <c r="AY185">
        <f t="shared" si="46"/>
        <v>0</v>
      </c>
      <c r="AZ185">
        <f t="shared" si="53"/>
        <v>0</v>
      </c>
      <c r="BA185">
        <f t="shared" si="54"/>
        <v>0</v>
      </c>
      <c r="BB185">
        <f t="shared" si="47"/>
        <v>8867861.29797591</v>
      </c>
      <c r="BC185">
        <f t="shared" si="39"/>
        <v>110848.266224699</v>
      </c>
      <c r="BD185">
        <f t="shared" si="40"/>
        <v>0.0125</v>
      </c>
      <c r="BG185">
        <f t="shared" si="48"/>
        <v>0</v>
      </c>
      <c r="BH185">
        <f t="shared" si="49"/>
        <v>7170079.31508434</v>
      </c>
      <c r="BI185">
        <f t="shared" si="41"/>
        <v>89625.9914385543</v>
      </c>
      <c r="BJ185">
        <f t="shared" si="42"/>
        <v>0.0125</v>
      </c>
    </row>
    <row r="186" spans="39:62">
      <c r="AM186">
        <v>64.535</v>
      </c>
      <c r="AN186">
        <f t="shared" si="43"/>
        <v>0</v>
      </c>
      <c r="AO186">
        <f t="shared" si="50"/>
        <v>0</v>
      </c>
      <c r="AP186">
        <f t="shared" si="51"/>
        <v>0</v>
      </c>
      <c r="AQ186">
        <f t="shared" si="55"/>
        <v>0</v>
      </c>
      <c r="AR186">
        <f t="shared" si="52"/>
        <v>7718359.29251081</v>
      </c>
      <c r="AS186">
        <f t="shared" si="44"/>
        <v>96479.4911563852</v>
      </c>
      <c r="AT186">
        <f t="shared" si="45"/>
        <v>0.0125</v>
      </c>
      <c r="AW186">
        <v>161.19</v>
      </c>
      <c r="AX186">
        <f t="shared" si="38"/>
        <v>0</v>
      </c>
      <c r="AY186">
        <f t="shared" si="46"/>
        <v>0</v>
      </c>
      <c r="AZ186">
        <f t="shared" si="53"/>
        <v>0</v>
      </c>
      <c r="BA186">
        <f t="shared" si="54"/>
        <v>0</v>
      </c>
      <c r="BB186">
        <f t="shared" si="47"/>
        <v>8867861.29797591</v>
      </c>
      <c r="BC186">
        <f t="shared" si="39"/>
        <v>110848.266224699</v>
      </c>
      <c r="BD186">
        <f t="shared" si="40"/>
        <v>0.0125</v>
      </c>
      <c r="BG186">
        <f t="shared" si="48"/>
        <v>0</v>
      </c>
      <c r="BH186">
        <f t="shared" si="49"/>
        <v>7170079.31508434</v>
      </c>
      <c r="BI186">
        <f t="shared" si="41"/>
        <v>89625.9914385543</v>
      </c>
      <c r="BJ186">
        <f t="shared" si="42"/>
        <v>0.0125</v>
      </c>
    </row>
    <row r="187" spans="39:62">
      <c r="AM187">
        <v>64.54</v>
      </c>
      <c r="AN187">
        <f t="shared" si="43"/>
        <v>0</v>
      </c>
      <c r="AO187">
        <f t="shared" si="50"/>
        <v>0</v>
      </c>
      <c r="AP187">
        <f t="shared" si="51"/>
        <v>0</v>
      </c>
      <c r="AQ187">
        <f t="shared" si="55"/>
        <v>0</v>
      </c>
      <c r="AR187">
        <f t="shared" si="52"/>
        <v>7718359.29251081</v>
      </c>
      <c r="AS187">
        <f t="shared" si="44"/>
        <v>96479.4911563852</v>
      </c>
      <c r="AT187">
        <f t="shared" si="45"/>
        <v>0.0125</v>
      </c>
      <c r="AW187">
        <v>160.94</v>
      </c>
      <c r="AX187">
        <f t="shared" si="38"/>
        <v>0</v>
      </c>
      <c r="AY187">
        <f t="shared" si="46"/>
        <v>0</v>
      </c>
      <c r="AZ187">
        <f t="shared" si="53"/>
        <v>0</v>
      </c>
      <c r="BA187">
        <f t="shared" si="54"/>
        <v>0</v>
      </c>
      <c r="BB187">
        <f t="shared" si="47"/>
        <v>8867861.29797591</v>
      </c>
      <c r="BC187">
        <f t="shared" si="39"/>
        <v>110848.266224699</v>
      </c>
      <c r="BD187">
        <f t="shared" si="40"/>
        <v>0.0125</v>
      </c>
      <c r="BG187">
        <f t="shared" si="48"/>
        <v>0</v>
      </c>
      <c r="BH187">
        <f t="shared" si="49"/>
        <v>7170079.31508434</v>
      </c>
      <c r="BI187">
        <f t="shared" si="41"/>
        <v>89625.9914385543</v>
      </c>
      <c r="BJ187">
        <f t="shared" si="42"/>
        <v>0.0125</v>
      </c>
    </row>
    <row r="188" spans="39:62">
      <c r="AM188">
        <v>64.76</v>
      </c>
      <c r="AN188">
        <f t="shared" si="43"/>
        <v>0</v>
      </c>
      <c r="AO188">
        <f t="shared" si="50"/>
        <v>0</v>
      </c>
      <c r="AP188">
        <f t="shared" si="51"/>
        <v>0</v>
      </c>
      <c r="AQ188">
        <f t="shared" si="55"/>
        <v>0</v>
      </c>
      <c r="AR188">
        <f t="shared" si="52"/>
        <v>7718359.29251081</v>
      </c>
      <c r="AS188">
        <f t="shared" si="44"/>
        <v>96479.4911563852</v>
      </c>
      <c r="AT188">
        <f t="shared" si="45"/>
        <v>0.0125</v>
      </c>
      <c r="AW188">
        <v>161.09</v>
      </c>
      <c r="AX188">
        <f t="shared" si="38"/>
        <v>0</v>
      </c>
      <c r="AY188">
        <f t="shared" si="46"/>
        <v>0</v>
      </c>
      <c r="AZ188">
        <f t="shared" si="53"/>
        <v>0</v>
      </c>
      <c r="BA188">
        <f t="shared" si="54"/>
        <v>0</v>
      </c>
      <c r="BB188">
        <f t="shared" si="47"/>
        <v>8867861.29797591</v>
      </c>
      <c r="BC188">
        <f t="shared" si="39"/>
        <v>110848.266224699</v>
      </c>
      <c r="BD188">
        <f t="shared" si="40"/>
        <v>0.0125</v>
      </c>
      <c r="BG188">
        <f t="shared" si="48"/>
        <v>0</v>
      </c>
      <c r="BH188">
        <f t="shared" si="49"/>
        <v>7170079.31508434</v>
      </c>
      <c r="BI188">
        <f t="shared" si="41"/>
        <v>89625.9914385543</v>
      </c>
      <c r="BJ188">
        <f t="shared" si="42"/>
        <v>0.0125</v>
      </c>
    </row>
    <row r="189" spans="39:62">
      <c r="AM189">
        <v>64.905</v>
      </c>
      <c r="AN189">
        <f t="shared" si="43"/>
        <v>0</v>
      </c>
      <c r="AO189">
        <f t="shared" si="50"/>
        <v>0</v>
      </c>
      <c r="AP189">
        <f t="shared" si="51"/>
        <v>0</v>
      </c>
      <c r="AQ189">
        <f t="shared" si="55"/>
        <v>0</v>
      </c>
      <c r="AR189">
        <f t="shared" si="52"/>
        <v>7718359.29251081</v>
      </c>
      <c r="AS189">
        <f t="shared" si="44"/>
        <v>96479.4911563852</v>
      </c>
      <c r="AT189">
        <f t="shared" si="45"/>
        <v>0.0125</v>
      </c>
      <c r="AW189">
        <v>161.32</v>
      </c>
      <c r="AX189">
        <f t="shared" si="38"/>
        <v>0</v>
      </c>
      <c r="AY189">
        <f t="shared" si="46"/>
        <v>0</v>
      </c>
      <c r="AZ189">
        <f t="shared" si="53"/>
        <v>0</v>
      </c>
      <c r="BA189">
        <f t="shared" si="54"/>
        <v>0</v>
      </c>
      <c r="BB189">
        <f t="shared" si="47"/>
        <v>8867861.29797591</v>
      </c>
      <c r="BC189">
        <f t="shared" si="39"/>
        <v>110848.266224699</v>
      </c>
      <c r="BD189">
        <f t="shared" si="40"/>
        <v>0.0125</v>
      </c>
      <c r="BG189">
        <f t="shared" si="48"/>
        <v>0</v>
      </c>
      <c r="BH189">
        <f t="shared" si="49"/>
        <v>7170079.31508434</v>
      </c>
      <c r="BI189">
        <f t="shared" si="41"/>
        <v>89625.9914385543</v>
      </c>
      <c r="BJ189">
        <f t="shared" si="42"/>
        <v>0.0125</v>
      </c>
    </row>
    <row r="190" spans="39:62">
      <c r="AM190">
        <v>64.375</v>
      </c>
      <c r="AN190">
        <f t="shared" si="43"/>
        <v>0</v>
      </c>
      <c r="AO190">
        <f t="shared" si="50"/>
        <v>0</v>
      </c>
      <c r="AP190">
        <f t="shared" si="51"/>
        <v>0</v>
      </c>
      <c r="AQ190">
        <f t="shared" si="55"/>
        <v>0</v>
      </c>
      <c r="AR190">
        <f t="shared" si="52"/>
        <v>7718359.29251081</v>
      </c>
      <c r="AS190">
        <f t="shared" si="44"/>
        <v>96479.4911563852</v>
      </c>
      <c r="AT190">
        <f t="shared" si="45"/>
        <v>0.0125</v>
      </c>
      <c r="AW190">
        <v>161.14</v>
      </c>
      <c r="AX190">
        <f t="shared" si="38"/>
        <v>0</v>
      </c>
      <c r="AY190">
        <f t="shared" si="46"/>
        <v>0</v>
      </c>
      <c r="AZ190">
        <f t="shared" si="53"/>
        <v>0</v>
      </c>
      <c r="BA190">
        <f t="shared" si="54"/>
        <v>0</v>
      </c>
      <c r="BB190">
        <f t="shared" si="47"/>
        <v>8867861.29797591</v>
      </c>
      <c r="BC190">
        <f t="shared" si="39"/>
        <v>110848.266224699</v>
      </c>
      <c r="BD190">
        <f t="shared" si="40"/>
        <v>0.0125</v>
      </c>
      <c r="BG190">
        <f t="shared" si="48"/>
        <v>0</v>
      </c>
      <c r="BH190">
        <f t="shared" si="49"/>
        <v>7170079.31508434</v>
      </c>
      <c r="BI190">
        <f t="shared" si="41"/>
        <v>89625.9914385543</v>
      </c>
      <c r="BJ190">
        <f t="shared" si="42"/>
        <v>0.0125</v>
      </c>
    </row>
    <row r="191" spans="39:62">
      <c r="AM191">
        <v>64.61</v>
      </c>
      <c r="AN191">
        <f t="shared" si="43"/>
        <v>0</v>
      </c>
      <c r="AO191">
        <f t="shared" si="50"/>
        <v>0</v>
      </c>
      <c r="AP191">
        <f t="shared" si="51"/>
        <v>0</v>
      </c>
      <c r="AQ191">
        <f t="shared" si="55"/>
        <v>0</v>
      </c>
      <c r="AR191">
        <f t="shared" si="52"/>
        <v>7718359.29251081</v>
      </c>
      <c r="AS191">
        <f t="shared" si="44"/>
        <v>96479.4911563852</v>
      </c>
      <c r="AT191">
        <f t="shared" si="45"/>
        <v>0.0125</v>
      </c>
      <c r="AW191">
        <v>161.12</v>
      </c>
      <c r="AX191">
        <f t="shared" si="38"/>
        <v>0</v>
      </c>
      <c r="AY191">
        <f t="shared" si="46"/>
        <v>0</v>
      </c>
      <c r="AZ191">
        <f t="shared" si="53"/>
        <v>0</v>
      </c>
      <c r="BA191">
        <f t="shared" si="54"/>
        <v>0</v>
      </c>
      <c r="BB191">
        <f t="shared" si="47"/>
        <v>8867861.29797591</v>
      </c>
      <c r="BC191">
        <f t="shared" si="39"/>
        <v>110848.266224699</v>
      </c>
      <c r="BD191">
        <f t="shared" si="40"/>
        <v>0.0125</v>
      </c>
      <c r="BG191">
        <f t="shared" si="48"/>
        <v>0</v>
      </c>
      <c r="BH191">
        <f t="shared" si="49"/>
        <v>7170079.31508434</v>
      </c>
      <c r="BI191">
        <f t="shared" si="41"/>
        <v>89625.9914385543</v>
      </c>
      <c r="BJ191">
        <f t="shared" si="42"/>
        <v>0.0125</v>
      </c>
    </row>
    <row r="192" spans="39:62">
      <c r="AM192">
        <v>64.39</v>
      </c>
      <c r="AN192">
        <f t="shared" si="43"/>
        <v>0</v>
      </c>
      <c r="AO192">
        <f t="shared" si="50"/>
        <v>0</v>
      </c>
      <c r="AP192">
        <f t="shared" si="51"/>
        <v>0</v>
      </c>
      <c r="AQ192">
        <f t="shared" si="55"/>
        <v>0</v>
      </c>
      <c r="AR192">
        <f t="shared" si="52"/>
        <v>7718359.29251081</v>
      </c>
      <c r="AS192">
        <f t="shared" si="44"/>
        <v>96479.4911563852</v>
      </c>
      <c r="AT192">
        <f t="shared" si="45"/>
        <v>0.0125</v>
      </c>
      <c r="AW192">
        <v>161.93</v>
      </c>
      <c r="AX192">
        <f t="shared" si="38"/>
        <v>0</v>
      </c>
      <c r="AY192">
        <f t="shared" si="46"/>
        <v>0</v>
      </c>
      <c r="AZ192">
        <f t="shared" si="53"/>
        <v>0</v>
      </c>
      <c r="BA192">
        <f t="shared" si="54"/>
        <v>0</v>
      </c>
      <c r="BB192">
        <f t="shared" si="47"/>
        <v>8867861.29797591</v>
      </c>
      <c r="BC192">
        <f t="shared" si="39"/>
        <v>110848.266224699</v>
      </c>
      <c r="BD192">
        <f t="shared" si="40"/>
        <v>0.0125</v>
      </c>
      <c r="BG192">
        <f t="shared" si="48"/>
        <v>0</v>
      </c>
      <c r="BH192">
        <f t="shared" si="49"/>
        <v>7170079.31508434</v>
      </c>
      <c r="BI192">
        <f t="shared" si="41"/>
        <v>89625.9914385543</v>
      </c>
      <c r="BJ192">
        <f t="shared" si="42"/>
        <v>0.0125</v>
      </c>
    </row>
    <row r="193" spans="39:62">
      <c r="AM193">
        <v>64.12</v>
      </c>
      <c r="AN193">
        <f t="shared" si="43"/>
        <v>0</v>
      </c>
      <c r="AO193">
        <f t="shared" si="50"/>
        <v>0</v>
      </c>
      <c r="AP193">
        <f t="shared" si="51"/>
        <v>0</v>
      </c>
      <c r="AQ193">
        <f t="shared" si="55"/>
        <v>0</v>
      </c>
      <c r="AR193">
        <f t="shared" si="52"/>
        <v>7718359.29251081</v>
      </c>
      <c r="AS193">
        <f t="shared" si="44"/>
        <v>96479.4911563852</v>
      </c>
      <c r="AT193">
        <f t="shared" si="45"/>
        <v>0.0125</v>
      </c>
      <c r="AW193">
        <v>161.71</v>
      </c>
      <c r="AX193">
        <f t="shared" si="38"/>
        <v>0</v>
      </c>
      <c r="AY193">
        <f t="shared" si="46"/>
        <v>0</v>
      </c>
      <c r="AZ193">
        <f t="shared" si="53"/>
        <v>0</v>
      </c>
      <c r="BA193">
        <f t="shared" si="54"/>
        <v>0</v>
      </c>
      <c r="BB193">
        <f t="shared" si="47"/>
        <v>8867861.29797591</v>
      </c>
      <c r="BC193">
        <f t="shared" si="39"/>
        <v>110848.266224699</v>
      </c>
      <c r="BD193">
        <f t="shared" si="40"/>
        <v>0.0125</v>
      </c>
      <c r="BG193">
        <f t="shared" si="48"/>
        <v>0</v>
      </c>
      <c r="BH193">
        <f t="shared" si="49"/>
        <v>7170079.31508434</v>
      </c>
      <c r="BI193">
        <f t="shared" si="41"/>
        <v>89625.9914385543</v>
      </c>
      <c r="BJ193">
        <f t="shared" si="42"/>
        <v>0.0125</v>
      </c>
    </row>
    <row r="194" spans="39:62">
      <c r="AM194">
        <v>63.71</v>
      </c>
      <c r="AN194">
        <f t="shared" si="43"/>
        <v>0</v>
      </c>
      <c r="AO194">
        <f t="shared" si="50"/>
        <v>0</v>
      </c>
      <c r="AP194">
        <f t="shared" si="51"/>
        <v>0</v>
      </c>
      <c r="AQ194">
        <f t="shared" si="55"/>
        <v>0</v>
      </c>
      <c r="AR194">
        <f t="shared" si="52"/>
        <v>7718359.29251081</v>
      </c>
      <c r="AS194">
        <f t="shared" si="44"/>
        <v>96479.4911563852</v>
      </c>
      <c r="AT194">
        <f t="shared" si="45"/>
        <v>0.0125</v>
      </c>
      <c r="AW194">
        <v>161.02</v>
      </c>
      <c r="AX194">
        <f t="shared" ref="AX194:AX257" si="56">IF(V194&gt;0,AW194*1.01,IF(V194&lt;0,AW194*0.99,0))</f>
        <v>0</v>
      </c>
      <c r="AY194">
        <f t="shared" si="46"/>
        <v>0</v>
      </c>
      <c r="AZ194">
        <f t="shared" si="53"/>
        <v>0</v>
      </c>
      <c r="BA194">
        <f t="shared" si="54"/>
        <v>0</v>
      </c>
      <c r="BB194">
        <f t="shared" si="47"/>
        <v>8867861.29797591</v>
      </c>
      <c r="BC194">
        <f t="shared" ref="BC194:BC257" si="57">BB194*0.2/16</f>
        <v>110848.266224699</v>
      </c>
      <c r="BD194">
        <f t="shared" ref="BD194:BD257" si="58">BC194/BB194</f>
        <v>0.0125</v>
      </c>
      <c r="BG194">
        <f t="shared" si="48"/>
        <v>0</v>
      </c>
      <c r="BH194">
        <f t="shared" si="49"/>
        <v>7170079.31508434</v>
      </c>
      <c r="BI194">
        <f t="shared" ref="BI194:BI257" si="59">BH194*0.2/16</f>
        <v>89625.9914385543</v>
      </c>
      <c r="BJ194">
        <f t="shared" ref="BJ194:BJ257" si="60">BI194/BH194</f>
        <v>0.0125</v>
      </c>
    </row>
    <row r="195" spans="39:62">
      <c r="AM195">
        <v>64.395</v>
      </c>
      <c r="AN195">
        <f t="shared" ref="AN195:AN258" si="61">IF(L195&gt;0,AM195*1.01,IF(L195&lt;0,AM195*0.99,0))</f>
        <v>0</v>
      </c>
      <c r="AO195">
        <f t="shared" si="50"/>
        <v>0</v>
      </c>
      <c r="AP195">
        <f t="shared" si="51"/>
        <v>0</v>
      </c>
      <c r="AQ195">
        <f t="shared" si="55"/>
        <v>0</v>
      </c>
      <c r="AR195">
        <f t="shared" si="52"/>
        <v>7718359.29251081</v>
      </c>
      <c r="AS195">
        <f t="shared" ref="AS195:AS258" si="62">AR195*0.2/16</f>
        <v>96479.4911563852</v>
      </c>
      <c r="AT195">
        <f t="shared" ref="AT195:AT258" si="63">AS195/AR195</f>
        <v>0.0125</v>
      </c>
      <c r="AW195">
        <v>160.8</v>
      </c>
      <c r="AX195">
        <f t="shared" si="56"/>
        <v>0</v>
      </c>
      <c r="AY195">
        <f t="shared" ref="AY195:AY258" si="64">IF(AX195&lt;&gt;0,(AW195-AX195)*$BE$2/$BF$2*AA195,0)</f>
        <v>0</v>
      </c>
      <c r="AZ195">
        <f t="shared" si="53"/>
        <v>0</v>
      </c>
      <c r="BA195">
        <f t="shared" si="54"/>
        <v>0</v>
      </c>
      <c r="BB195">
        <f t="shared" ref="BB195:BB258" si="65">BA195+BB194</f>
        <v>8867861.29797591</v>
      </c>
      <c r="BC195">
        <f t="shared" si="57"/>
        <v>110848.266224699</v>
      </c>
      <c r="BD195">
        <f t="shared" si="58"/>
        <v>0.0125</v>
      </c>
      <c r="BG195">
        <f t="shared" ref="BG195:BG258" si="66">AY195+AO195</f>
        <v>0</v>
      </c>
      <c r="BH195">
        <f t="shared" ref="BH195:BH258" si="67">BG195+BH194</f>
        <v>7170079.31508434</v>
      </c>
      <c r="BI195">
        <f t="shared" si="59"/>
        <v>89625.9914385543</v>
      </c>
      <c r="BJ195">
        <f t="shared" si="60"/>
        <v>0.0125</v>
      </c>
    </row>
    <row r="196" spans="39:62">
      <c r="AM196">
        <v>64.55</v>
      </c>
      <c r="AN196">
        <f t="shared" si="61"/>
        <v>0</v>
      </c>
      <c r="AO196">
        <f t="shared" ref="AO196:AO259" si="68">IF(AN196&lt;&gt;0,(AM196-AN196)*$AU$2/$AV$2*L196,0)</f>
        <v>0</v>
      </c>
      <c r="AP196">
        <f t="shared" ref="AP196:AP259" si="69">(AM196-AM195)*$AU$2/$AV$2*Z195</f>
        <v>0</v>
      </c>
      <c r="AQ196">
        <f t="shared" si="55"/>
        <v>0</v>
      </c>
      <c r="AR196">
        <f t="shared" ref="AR196:AR259" si="70">AQ196+AR195</f>
        <v>7718359.29251081</v>
      </c>
      <c r="AS196">
        <f t="shared" si="62"/>
        <v>96479.4911563852</v>
      </c>
      <c r="AT196">
        <f t="shared" si="63"/>
        <v>0.0125</v>
      </c>
      <c r="AW196">
        <v>161.01</v>
      </c>
      <c r="AX196">
        <f t="shared" si="56"/>
        <v>0</v>
      </c>
      <c r="AY196">
        <f t="shared" si="64"/>
        <v>0</v>
      </c>
      <c r="AZ196">
        <f t="shared" ref="AZ196:AZ259" si="71">(AW196-AW195)*$BE$2/$BF$2*AC195</f>
        <v>0</v>
      </c>
      <c r="BA196">
        <f t="shared" ref="BA196:BA259" si="72">AY196+AZ196</f>
        <v>0</v>
      </c>
      <c r="BB196">
        <f t="shared" si="65"/>
        <v>8867861.29797591</v>
      </c>
      <c r="BC196">
        <f t="shared" si="57"/>
        <v>110848.266224699</v>
      </c>
      <c r="BD196">
        <f t="shared" si="58"/>
        <v>0.0125</v>
      </c>
      <c r="BG196">
        <f t="shared" si="66"/>
        <v>0</v>
      </c>
      <c r="BH196">
        <f t="shared" si="67"/>
        <v>7170079.31508434</v>
      </c>
      <c r="BI196">
        <f t="shared" si="59"/>
        <v>89625.9914385543</v>
      </c>
      <c r="BJ196">
        <f t="shared" si="60"/>
        <v>0.0125</v>
      </c>
    </row>
    <row r="197" spans="39:62">
      <c r="AM197">
        <v>63.825</v>
      </c>
      <c r="AN197">
        <f t="shared" si="61"/>
        <v>0</v>
      </c>
      <c r="AO197">
        <f t="shared" si="68"/>
        <v>0</v>
      </c>
      <c r="AP197">
        <f t="shared" si="69"/>
        <v>0</v>
      </c>
      <c r="AQ197">
        <f t="shared" ref="AQ197:AQ260" si="73">AO197+AP197</f>
        <v>0</v>
      </c>
      <c r="AR197">
        <f t="shared" si="70"/>
        <v>7718359.29251081</v>
      </c>
      <c r="AS197">
        <f t="shared" si="62"/>
        <v>96479.4911563852</v>
      </c>
      <c r="AT197">
        <f t="shared" si="63"/>
        <v>0.0125</v>
      </c>
      <c r="AW197">
        <v>161.22</v>
      </c>
      <c r="AX197">
        <f t="shared" si="56"/>
        <v>0</v>
      </c>
      <c r="AY197">
        <f t="shared" si="64"/>
        <v>0</v>
      </c>
      <c r="AZ197">
        <f t="shared" si="71"/>
        <v>0</v>
      </c>
      <c r="BA197">
        <f t="shared" si="72"/>
        <v>0</v>
      </c>
      <c r="BB197">
        <f t="shared" si="65"/>
        <v>8867861.29797591</v>
      </c>
      <c r="BC197">
        <f t="shared" si="57"/>
        <v>110848.266224699</v>
      </c>
      <c r="BD197">
        <f t="shared" si="58"/>
        <v>0.0125</v>
      </c>
      <c r="BG197">
        <f t="shared" si="66"/>
        <v>0</v>
      </c>
      <c r="BH197">
        <f t="shared" si="67"/>
        <v>7170079.31508434</v>
      </c>
      <c r="BI197">
        <f t="shared" si="59"/>
        <v>89625.9914385543</v>
      </c>
      <c r="BJ197">
        <f t="shared" si="60"/>
        <v>0.0125</v>
      </c>
    </row>
    <row r="198" spans="39:62">
      <c r="AM198">
        <v>63.215</v>
      </c>
      <c r="AN198">
        <f t="shared" si="61"/>
        <v>0</v>
      </c>
      <c r="AO198">
        <f t="shared" si="68"/>
        <v>0</v>
      </c>
      <c r="AP198">
        <f t="shared" si="69"/>
        <v>0</v>
      </c>
      <c r="AQ198">
        <f t="shared" si="73"/>
        <v>0</v>
      </c>
      <c r="AR198">
        <f t="shared" si="70"/>
        <v>7718359.29251081</v>
      </c>
      <c r="AS198">
        <f t="shared" si="62"/>
        <v>96479.4911563852</v>
      </c>
      <c r="AT198">
        <f t="shared" si="63"/>
        <v>0.0125</v>
      </c>
      <c r="AW198">
        <v>161.12</v>
      </c>
      <c r="AX198">
        <f t="shared" si="56"/>
        <v>0</v>
      </c>
      <c r="AY198">
        <f t="shared" si="64"/>
        <v>0</v>
      </c>
      <c r="AZ198">
        <f t="shared" si="71"/>
        <v>0</v>
      </c>
      <c r="BA198">
        <f t="shared" si="72"/>
        <v>0</v>
      </c>
      <c r="BB198">
        <f t="shared" si="65"/>
        <v>8867861.29797591</v>
      </c>
      <c r="BC198">
        <f t="shared" si="57"/>
        <v>110848.266224699</v>
      </c>
      <c r="BD198">
        <f t="shared" si="58"/>
        <v>0.0125</v>
      </c>
      <c r="BG198">
        <f t="shared" si="66"/>
        <v>0</v>
      </c>
      <c r="BH198">
        <f t="shared" si="67"/>
        <v>7170079.31508434</v>
      </c>
      <c r="BI198">
        <f t="shared" si="59"/>
        <v>89625.9914385543</v>
      </c>
      <c r="BJ198">
        <f t="shared" si="60"/>
        <v>0.0125</v>
      </c>
    </row>
    <row r="199" spans="39:62">
      <c r="AM199">
        <v>63.385</v>
      </c>
      <c r="AN199">
        <f t="shared" si="61"/>
        <v>0</v>
      </c>
      <c r="AO199">
        <f t="shared" si="68"/>
        <v>0</v>
      </c>
      <c r="AP199">
        <f t="shared" si="69"/>
        <v>0</v>
      </c>
      <c r="AQ199">
        <f t="shared" si="73"/>
        <v>0</v>
      </c>
      <c r="AR199">
        <f t="shared" si="70"/>
        <v>7718359.29251081</v>
      </c>
      <c r="AS199">
        <f t="shared" si="62"/>
        <v>96479.4911563852</v>
      </c>
      <c r="AT199">
        <f t="shared" si="63"/>
        <v>0.0125</v>
      </c>
      <c r="AW199">
        <v>161.32</v>
      </c>
      <c r="AX199">
        <f t="shared" si="56"/>
        <v>0</v>
      </c>
      <c r="AY199">
        <f t="shared" si="64"/>
        <v>0</v>
      </c>
      <c r="AZ199">
        <f t="shared" si="71"/>
        <v>0</v>
      </c>
      <c r="BA199">
        <f t="shared" si="72"/>
        <v>0</v>
      </c>
      <c r="BB199">
        <f t="shared" si="65"/>
        <v>8867861.29797591</v>
      </c>
      <c r="BC199">
        <f t="shared" si="57"/>
        <v>110848.266224699</v>
      </c>
      <c r="BD199">
        <f t="shared" si="58"/>
        <v>0.0125</v>
      </c>
      <c r="BG199">
        <f t="shared" si="66"/>
        <v>0</v>
      </c>
      <c r="BH199">
        <f t="shared" si="67"/>
        <v>7170079.31508434</v>
      </c>
      <c r="BI199">
        <f t="shared" si="59"/>
        <v>89625.9914385543</v>
      </c>
      <c r="BJ199">
        <f t="shared" si="60"/>
        <v>0.0125</v>
      </c>
    </row>
    <row r="200" spans="39:62">
      <c r="AM200">
        <v>63.88</v>
      </c>
      <c r="AN200">
        <f t="shared" si="61"/>
        <v>0</v>
      </c>
      <c r="AO200">
        <f t="shared" si="68"/>
        <v>0</v>
      </c>
      <c r="AP200">
        <f t="shared" si="69"/>
        <v>0</v>
      </c>
      <c r="AQ200">
        <f t="shared" si="73"/>
        <v>0</v>
      </c>
      <c r="AR200">
        <f t="shared" si="70"/>
        <v>7718359.29251081</v>
      </c>
      <c r="AS200">
        <f t="shared" si="62"/>
        <v>96479.4911563852</v>
      </c>
      <c r="AT200">
        <f t="shared" si="63"/>
        <v>0.0125</v>
      </c>
      <c r="AW200">
        <v>161.22</v>
      </c>
      <c r="AX200">
        <f t="shared" si="56"/>
        <v>0</v>
      </c>
      <c r="AY200">
        <f t="shared" si="64"/>
        <v>0</v>
      </c>
      <c r="AZ200">
        <f t="shared" si="71"/>
        <v>0</v>
      </c>
      <c r="BA200">
        <f t="shared" si="72"/>
        <v>0</v>
      </c>
      <c r="BB200">
        <f t="shared" si="65"/>
        <v>8867861.29797591</v>
      </c>
      <c r="BC200">
        <f t="shared" si="57"/>
        <v>110848.266224699</v>
      </c>
      <c r="BD200">
        <f t="shared" si="58"/>
        <v>0.0125</v>
      </c>
      <c r="BG200">
        <f t="shared" si="66"/>
        <v>0</v>
      </c>
      <c r="BH200">
        <f t="shared" si="67"/>
        <v>7170079.31508434</v>
      </c>
      <c r="BI200">
        <f t="shared" si="59"/>
        <v>89625.9914385543</v>
      </c>
      <c r="BJ200">
        <f t="shared" si="60"/>
        <v>0.0125</v>
      </c>
    </row>
    <row r="201" spans="39:62">
      <c r="AM201">
        <v>64.12</v>
      </c>
      <c r="AN201">
        <f t="shared" si="61"/>
        <v>0</v>
      </c>
      <c r="AO201">
        <f t="shared" si="68"/>
        <v>0</v>
      </c>
      <c r="AP201">
        <f t="shared" si="69"/>
        <v>0</v>
      </c>
      <c r="AQ201">
        <f t="shared" si="73"/>
        <v>0</v>
      </c>
      <c r="AR201">
        <f t="shared" si="70"/>
        <v>7718359.29251081</v>
      </c>
      <c r="AS201">
        <f t="shared" si="62"/>
        <v>96479.4911563852</v>
      </c>
      <c r="AT201">
        <f t="shared" si="63"/>
        <v>0.0125</v>
      </c>
      <c r="AW201">
        <v>161.16</v>
      </c>
      <c r="AX201">
        <f t="shared" si="56"/>
        <v>0</v>
      </c>
      <c r="AY201">
        <f t="shared" si="64"/>
        <v>0</v>
      </c>
      <c r="AZ201">
        <f t="shared" si="71"/>
        <v>0</v>
      </c>
      <c r="BA201">
        <f t="shared" si="72"/>
        <v>0</v>
      </c>
      <c r="BB201">
        <f t="shared" si="65"/>
        <v>8867861.29797591</v>
      </c>
      <c r="BC201">
        <f t="shared" si="57"/>
        <v>110848.266224699</v>
      </c>
      <c r="BD201">
        <f t="shared" si="58"/>
        <v>0.0125</v>
      </c>
      <c r="BG201">
        <f t="shared" si="66"/>
        <v>0</v>
      </c>
      <c r="BH201">
        <f t="shared" si="67"/>
        <v>7170079.31508434</v>
      </c>
      <c r="BI201">
        <f t="shared" si="59"/>
        <v>89625.9914385543</v>
      </c>
      <c r="BJ201">
        <f t="shared" si="60"/>
        <v>0.0125</v>
      </c>
    </row>
    <row r="202" spans="39:62">
      <c r="AM202">
        <v>64.28</v>
      </c>
      <c r="AN202">
        <f t="shared" si="61"/>
        <v>0</v>
      </c>
      <c r="AO202">
        <f t="shared" si="68"/>
        <v>0</v>
      </c>
      <c r="AP202">
        <f t="shared" si="69"/>
        <v>0</v>
      </c>
      <c r="AQ202">
        <f t="shared" si="73"/>
        <v>0</v>
      </c>
      <c r="AR202">
        <f t="shared" si="70"/>
        <v>7718359.29251081</v>
      </c>
      <c r="AS202">
        <f t="shared" si="62"/>
        <v>96479.4911563852</v>
      </c>
      <c r="AT202">
        <f t="shared" si="63"/>
        <v>0.0125</v>
      </c>
      <c r="AW202">
        <v>161.44</v>
      </c>
      <c r="AX202">
        <f t="shared" si="56"/>
        <v>0</v>
      </c>
      <c r="AY202">
        <f t="shared" si="64"/>
        <v>0</v>
      </c>
      <c r="AZ202">
        <f t="shared" si="71"/>
        <v>0</v>
      </c>
      <c r="BA202">
        <f t="shared" si="72"/>
        <v>0</v>
      </c>
      <c r="BB202">
        <f t="shared" si="65"/>
        <v>8867861.29797591</v>
      </c>
      <c r="BC202">
        <f t="shared" si="57"/>
        <v>110848.266224699</v>
      </c>
      <c r="BD202">
        <f t="shared" si="58"/>
        <v>0.0125</v>
      </c>
      <c r="BG202">
        <f t="shared" si="66"/>
        <v>0</v>
      </c>
      <c r="BH202">
        <f t="shared" si="67"/>
        <v>7170079.31508434</v>
      </c>
      <c r="BI202">
        <f t="shared" si="59"/>
        <v>89625.9914385543</v>
      </c>
      <c r="BJ202">
        <f t="shared" si="60"/>
        <v>0.0125</v>
      </c>
    </row>
    <row r="203" spans="39:62">
      <c r="AM203">
        <v>64.4</v>
      </c>
      <c r="AN203">
        <f t="shared" si="61"/>
        <v>0</v>
      </c>
      <c r="AO203">
        <f t="shared" si="68"/>
        <v>0</v>
      </c>
      <c r="AP203">
        <f t="shared" si="69"/>
        <v>0</v>
      </c>
      <c r="AQ203">
        <f t="shared" si="73"/>
        <v>0</v>
      </c>
      <c r="AR203">
        <f t="shared" si="70"/>
        <v>7718359.29251081</v>
      </c>
      <c r="AS203">
        <f t="shared" si="62"/>
        <v>96479.4911563852</v>
      </c>
      <c r="AT203">
        <f t="shared" si="63"/>
        <v>0.0125</v>
      </c>
      <c r="AW203">
        <v>161.48</v>
      </c>
      <c r="AX203">
        <f t="shared" si="56"/>
        <v>0</v>
      </c>
      <c r="AY203">
        <f t="shared" si="64"/>
        <v>0</v>
      </c>
      <c r="AZ203">
        <f t="shared" si="71"/>
        <v>0</v>
      </c>
      <c r="BA203">
        <f t="shared" si="72"/>
        <v>0</v>
      </c>
      <c r="BB203">
        <f t="shared" si="65"/>
        <v>8867861.29797591</v>
      </c>
      <c r="BC203">
        <f t="shared" si="57"/>
        <v>110848.266224699</v>
      </c>
      <c r="BD203">
        <f t="shared" si="58"/>
        <v>0.0125</v>
      </c>
      <c r="BG203">
        <f t="shared" si="66"/>
        <v>0</v>
      </c>
      <c r="BH203">
        <f t="shared" si="67"/>
        <v>7170079.31508434</v>
      </c>
      <c r="BI203">
        <f t="shared" si="59"/>
        <v>89625.9914385543</v>
      </c>
      <c r="BJ203">
        <f t="shared" si="60"/>
        <v>0.0125</v>
      </c>
    </row>
    <row r="204" spans="39:62">
      <c r="AM204">
        <v>64.22</v>
      </c>
      <c r="AN204">
        <f t="shared" si="61"/>
        <v>0</v>
      </c>
      <c r="AO204">
        <f t="shared" si="68"/>
        <v>0</v>
      </c>
      <c r="AP204">
        <f t="shared" si="69"/>
        <v>0</v>
      </c>
      <c r="AQ204">
        <f t="shared" si="73"/>
        <v>0</v>
      </c>
      <c r="AR204">
        <f t="shared" si="70"/>
        <v>7718359.29251081</v>
      </c>
      <c r="AS204">
        <f t="shared" si="62"/>
        <v>96479.4911563852</v>
      </c>
      <c r="AT204">
        <f t="shared" si="63"/>
        <v>0.0125</v>
      </c>
      <c r="AW204">
        <v>161.26</v>
      </c>
      <c r="AX204">
        <f t="shared" si="56"/>
        <v>0</v>
      </c>
      <c r="AY204">
        <f t="shared" si="64"/>
        <v>0</v>
      </c>
      <c r="AZ204">
        <f t="shared" si="71"/>
        <v>0</v>
      </c>
      <c r="BA204">
        <f t="shared" si="72"/>
        <v>0</v>
      </c>
      <c r="BB204">
        <f t="shared" si="65"/>
        <v>8867861.29797591</v>
      </c>
      <c r="BC204">
        <f t="shared" si="57"/>
        <v>110848.266224699</v>
      </c>
      <c r="BD204">
        <f t="shared" si="58"/>
        <v>0.0125</v>
      </c>
      <c r="BG204">
        <f t="shared" si="66"/>
        <v>0</v>
      </c>
      <c r="BH204">
        <f t="shared" si="67"/>
        <v>7170079.31508434</v>
      </c>
      <c r="BI204">
        <f t="shared" si="59"/>
        <v>89625.9914385543</v>
      </c>
      <c r="BJ204">
        <f t="shared" si="60"/>
        <v>0.0125</v>
      </c>
    </row>
    <row r="205" spans="39:62">
      <c r="AM205">
        <v>63.265</v>
      </c>
      <c r="AN205">
        <f t="shared" si="61"/>
        <v>0</v>
      </c>
      <c r="AO205">
        <f t="shared" si="68"/>
        <v>0</v>
      </c>
      <c r="AP205">
        <f t="shared" si="69"/>
        <v>0</v>
      </c>
      <c r="AQ205">
        <f t="shared" si="73"/>
        <v>0</v>
      </c>
      <c r="AR205">
        <f t="shared" si="70"/>
        <v>7718359.29251081</v>
      </c>
      <c r="AS205">
        <f t="shared" si="62"/>
        <v>96479.4911563852</v>
      </c>
      <c r="AT205">
        <f t="shared" si="63"/>
        <v>0.0125</v>
      </c>
      <c r="AW205">
        <v>161.45</v>
      </c>
      <c r="AX205">
        <f t="shared" si="56"/>
        <v>0</v>
      </c>
      <c r="AY205">
        <f t="shared" si="64"/>
        <v>0</v>
      </c>
      <c r="AZ205">
        <f t="shared" si="71"/>
        <v>0</v>
      </c>
      <c r="BA205">
        <f t="shared" si="72"/>
        <v>0</v>
      </c>
      <c r="BB205">
        <f t="shared" si="65"/>
        <v>8867861.29797591</v>
      </c>
      <c r="BC205">
        <f t="shared" si="57"/>
        <v>110848.266224699</v>
      </c>
      <c r="BD205">
        <f t="shared" si="58"/>
        <v>0.0125</v>
      </c>
      <c r="BG205">
        <f t="shared" si="66"/>
        <v>0</v>
      </c>
      <c r="BH205">
        <f t="shared" si="67"/>
        <v>7170079.31508434</v>
      </c>
      <c r="BI205">
        <f t="shared" si="59"/>
        <v>89625.9914385543</v>
      </c>
      <c r="BJ205">
        <f t="shared" si="60"/>
        <v>0.0125</v>
      </c>
    </row>
    <row r="206" spans="39:62">
      <c r="AM206">
        <v>63.125</v>
      </c>
      <c r="AN206">
        <f t="shared" si="61"/>
        <v>0</v>
      </c>
      <c r="AO206">
        <f t="shared" si="68"/>
        <v>0</v>
      </c>
      <c r="AP206">
        <f t="shared" si="69"/>
        <v>0</v>
      </c>
      <c r="AQ206">
        <f t="shared" si="73"/>
        <v>0</v>
      </c>
      <c r="AR206">
        <f t="shared" si="70"/>
        <v>7718359.29251081</v>
      </c>
      <c r="AS206">
        <f t="shared" si="62"/>
        <v>96479.4911563852</v>
      </c>
      <c r="AT206">
        <f t="shared" si="63"/>
        <v>0.0125</v>
      </c>
      <c r="AW206">
        <v>162.02</v>
      </c>
      <c r="AX206">
        <f t="shared" si="56"/>
        <v>0</v>
      </c>
      <c r="AY206">
        <f t="shared" si="64"/>
        <v>0</v>
      </c>
      <c r="AZ206">
        <f t="shared" si="71"/>
        <v>0</v>
      </c>
      <c r="BA206">
        <f t="shared" si="72"/>
        <v>0</v>
      </c>
      <c r="BB206">
        <f t="shared" si="65"/>
        <v>8867861.29797591</v>
      </c>
      <c r="BC206">
        <f t="shared" si="57"/>
        <v>110848.266224699</v>
      </c>
      <c r="BD206">
        <f t="shared" si="58"/>
        <v>0.0125</v>
      </c>
      <c r="BG206">
        <f t="shared" si="66"/>
        <v>0</v>
      </c>
      <c r="BH206">
        <f t="shared" si="67"/>
        <v>7170079.31508434</v>
      </c>
      <c r="BI206">
        <f t="shared" si="59"/>
        <v>89625.9914385543</v>
      </c>
      <c r="BJ206">
        <f t="shared" si="60"/>
        <v>0.0125</v>
      </c>
    </row>
    <row r="207" spans="39:62">
      <c r="AM207">
        <v>63.55</v>
      </c>
      <c r="AN207">
        <f t="shared" si="61"/>
        <v>0</v>
      </c>
      <c r="AO207">
        <f t="shared" si="68"/>
        <v>0</v>
      </c>
      <c r="AP207">
        <f t="shared" si="69"/>
        <v>0</v>
      </c>
      <c r="AQ207">
        <f t="shared" si="73"/>
        <v>0</v>
      </c>
      <c r="AR207">
        <f t="shared" si="70"/>
        <v>7718359.29251081</v>
      </c>
      <c r="AS207">
        <f t="shared" si="62"/>
        <v>96479.4911563852</v>
      </c>
      <c r="AT207">
        <f t="shared" si="63"/>
        <v>0.0125</v>
      </c>
      <c r="AW207">
        <v>162.46</v>
      </c>
      <c r="AX207">
        <f t="shared" si="56"/>
        <v>0</v>
      </c>
      <c r="AY207">
        <f t="shared" si="64"/>
        <v>0</v>
      </c>
      <c r="AZ207">
        <f t="shared" si="71"/>
        <v>0</v>
      </c>
      <c r="BA207">
        <f t="shared" si="72"/>
        <v>0</v>
      </c>
      <c r="BB207">
        <f t="shared" si="65"/>
        <v>8867861.29797591</v>
      </c>
      <c r="BC207">
        <f t="shared" si="57"/>
        <v>110848.266224699</v>
      </c>
      <c r="BD207">
        <f t="shared" si="58"/>
        <v>0.0125</v>
      </c>
      <c r="BG207">
        <f t="shared" si="66"/>
        <v>0</v>
      </c>
      <c r="BH207">
        <f t="shared" si="67"/>
        <v>7170079.31508434</v>
      </c>
      <c r="BI207">
        <f t="shared" si="59"/>
        <v>89625.9914385543</v>
      </c>
      <c r="BJ207">
        <f t="shared" si="60"/>
        <v>0.0125</v>
      </c>
    </row>
    <row r="208" spans="39:62">
      <c r="AM208">
        <v>63.72</v>
      </c>
      <c r="AN208">
        <f t="shared" si="61"/>
        <v>0</v>
      </c>
      <c r="AO208">
        <f t="shared" si="68"/>
        <v>0</v>
      </c>
      <c r="AP208">
        <f t="shared" si="69"/>
        <v>0</v>
      </c>
      <c r="AQ208">
        <f t="shared" si="73"/>
        <v>0</v>
      </c>
      <c r="AR208">
        <f t="shared" si="70"/>
        <v>7718359.29251081</v>
      </c>
      <c r="AS208">
        <f t="shared" si="62"/>
        <v>96479.4911563852</v>
      </c>
      <c r="AT208">
        <f t="shared" si="63"/>
        <v>0.0125</v>
      </c>
      <c r="AW208">
        <v>162.62</v>
      </c>
      <c r="AX208">
        <f t="shared" si="56"/>
        <v>0</v>
      </c>
      <c r="AY208">
        <f t="shared" si="64"/>
        <v>0</v>
      </c>
      <c r="AZ208">
        <f t="shared" si="71"/>
        <v>0</v>
      </c>
      <c r="BA208">
        <f t="shared" si="72"/>
        <v>0</v>
      </c>
      <c r="BB208">
        <f t="shared" si="65"/>
        <v>8867861.29797591</v>
      </c>
      <c r="BC208">
        <f t="shared" si="57"/>
        <v>110848.266224699</v>
      </c>
      <c r="BD208">
        <f t="shared" si="58"/>
        <v>0.0125</v>
      </c>
      <c r="BG208">
        <f t="shared" si="66"/>
        <v>0</v>
      </c>
      <c r="BH208">
        <f t="shared" si="67"/>
        <v>7170079.31508434</v>
      </c>
      <c r="BI208">
        <f t="shared" si="59"/>
        <v>89625.9914385543</v>
      </c>
      <c r="BJ208">
        <f t="shared" si="60"/>
        <v>0.0125</v>
      </c>
    </row>
    <row r="209" spans="39:62">
      <c r="AM209">
        <v>63.505</v>
      </c>
      <c r="AN209">
        <f t="shared" si="61"/>
        <v>0</v>
      </c>
      <c r="AO209">
        <f t="shared" si="68"/>
        <v>0</v>
      </c>
      <c r="AP209">
        <f t="shared" si="69"/>
        <v>0</v>
      </c>
      <c r="AQ209">
        <f t="shared" si="73"/>
        <v>0</v>
      </c>
      <c r="AR209">
        <f t="shared" si="70"/>
        <v>7718359.29251081</v>
      </c>
      <c r="AS209">
        <f t="shared" si="62"/>
        <v>96479.4911563852</v>
      </c>
      <c r="AT209">
        <f t="shared" si="63"/>
        <v>0.0125</v>
      </c>
      <c r="AW209">
        <v>162.18</v>
      </c>
      <c r="AX209">
        <f t="shared" si="56"/>
        <v>0</v>
      </c>
      <c r="AY209">
        <f t="shared" si="64"/>
        <v>0</v>
      </c>
      <c r="AZ209">
        <f t="shared" si="71"/>
        <v>0</v>
      </c>
      <c r="BA209">
        <f t="shared" si="72"/>
        <v>0</v>
      </c>
      <c r="BB209">
        <f t="shared" si="65"/>
        <v>8867861.29797591</v>
      </c>
      <c r="BC209">
        <f t="shared" si="57"/>
        <v>110848.266224699</v>
      </c>
      <c r="BD209">
        <f t="shared" si="58"/>
        <v>0.0125</v>
      </c>
      <c r="BG209">
        <f t="shared" si="66"/>
        <v>0</v>
      </c>
      <c r="BH209">
        <f t="shared" si="67"/>
        <v>7170079.31508434</v>
      </c>
      <c r="BI209">
        <f t="shared" si="59"/>
        <v>89625.9914385543</v>
      </c>
      <c r="BJ209">
        <f t="shared" si="60"/>
        <v>0.0125</v>
      </c>
    </row>
    <row r="210" spans="39:62">
      <c r="AM210">
        <v>63.405</v>
      </c>
      <c r="AN210">
        <f t="shared" si="61"/>
        <v>0</v>
      </c>
      <c r="AO210">
        <f t="shared" si="68"/>
        <v>0</v>
      </c>
      <c r="AP210">
        <f t="shared" si="69"/>
        <v>0</v>
      </c>
      <c r="AQ210">
        <f t="shared" si="73"/>
        <v>0</v>
      </c>
      <c r="AR210">
        <f t="shared" si="70"/>
        <v>7718359.29251081</v>
      </c>
      <c r="AS210">
        <f t="shared" si="62"/>
        <v>96479.4911563852</v>
      </c>
      <c r="AT210">
        <f t="shared" si="63"/>
        <v>0.0125</v>
      </c>
      <c r="AW210">
        <v>162.28</v>
      </c>
      <c r="AX210">
        <f t="shared" si="56"/>
        <v>0</v>
      </c>
      <c r="AY210">
        <f t="shared" si="64"/>
        <v>0</v>
      </c>
      <c r="AZ210">
        <f t="shared" si="71"/>
        <v>0</v>
      </c>
      <c r="BA210">
        <f t="shared" si="72"/>
        <v>0</v>
      </c>
      <c r="BB210">
        <f t="shared" si="65"/>
        <v>8867861.29797591</v>
      </c>
      <c r="BC210">
        <f t="shared" si="57"/>
        <v>110848.266224699</v>
      </c>
      <c r="BD210">
        <f t="shared" si="58"/>
        <v>0.0125</v>
      </c>
      <c r="BG210">
        <f t="shared" si="66"/>
        <v>0</v>
      </c>
      <c r="BH210">
        <f t="shared" si="67"/>
        <v>7170079.31508434</v>
      </c>
      <c r="BI210">
        <f t="shared" si="59"/>
        <v>89625.9914385543</v>
      </c>
      <c r="BJ210">
        <f t="shared" si="60"/>
        <v>0.0125</v>
      </c>
    </row>
    <row r="211" spans="39:62">
      <c r="AM211">
        <v>63.265</v>
      </c>
      <c r="AN211">
        <f t="shared" si="61"/>
        <v>0</v>
      </c>
      <c r="AO211">
        <f t="shared" si="68"/>
        <v>0</v>
      </c>
      <c r="AP211">
        <f t="shared" si="69"/>
        <v>0</v>
      </c>
      <c r="AQ211">
        <f t="shared" si="73"/>
        <v>0</v>
      </c>
      <c r="AR211">
        <f t="shared" si="70"/>
        <v>7718359.29251081</v>
      </c>
      <c r="AS211">
        <f t="shared" si="62"/>
        <v>96479.4911563852</v>
      </c>
      <c r="AT211">
        <f t="shared" si="63"/>
        <v>0.0125</v>
      </c>
      <c r="AW211">
        <v>161.44</v>
      </c>
      <c r="AX211">
        <f t="shared" si="56"/>
        <v>0</v>
      </c>
      <c r="AY211">
        <f t="shared" si="64"/>
        <v>0</v>
      </c>
      <c r="AZ211">
        <f t="shared" si="71"/>
        <v>0</v>
      </c>
      <c r="BA211">
        <f t="shared" si="72"/>
        <v>0</v>
      </c>
      <c r="BB211">
        <f t="shared" si="65"/>
        <v>8867861.29797591</v>
      </c>
      <c r="BC211">
        <f t="shared" si="57"/>
        <v>110848.266224699</v>
      </c>
      <c r="BD211">
        <f t="shared" si="58"/>
        <v>0.0125</v>
      </c>
      <c r="BG211">
        <f t="shared" si="66"/>
        <v>0</v>
      </c>
      <c r="BH211">
        <f t="shared" si="67"/>
        <v>7170079.31508434</v>
      </c>
      <c r="BI211">
        <f t="shared" si="59"/>
        <v>89625.9914385543</v>
      </c>
      <c r="BJ211">
        <f t="shared" si="60"/>
        <v>0.0125</v>
      </c>
    </row>
    <row r="212" spans="39:62">
      <c r="AM212">
        <v>63.565</v>
      </c>
      <c r="AN212">
        <f t="shared" si="61"/>
        <v>0</v>
      </c>
      <c r="AO212">
        <f t="shared" si="68"/>
        <v>0</v>
      </c>
      <c r="AP212">
        <f t="shared" si="69"/>
        <v>0</v>
      </c>
      <c r="AQ212">
        <f t="shared" si="73"/>
        <v>0</v>
      </c>
      <c r="AR212">
        <f t="shared" si="70"/>
        <v>7718359.29251081</v>
      </c>
      <c r="AS212">
        <f t="shared" si="62"/>
        <v>96479.4911563852</v>
      </c>
      <c r="AT212">
        <f t="shared" si="63"/>
        <v>0.0125</v>
      </c>
      <c r="AW212">
        <v>161.68</v>
      </c>
      <c r="AX212">
        <f t="shared" si="56"/>
        <v>0</v>
      </c>
      <c r="AY212">
        <f t="shared" si="64"/>
        <v>0</v>
      </c>
      <c r="AZ212">
        <f t="shared" si="71"/>
        <v>0</v>
      </c>
      <c r="BA212">
        <f t="shared" si="72"/>
        <v>0</v>
      </c>
      <c r="BB212">
        <f t="shared" si="65"/>
        <v>8867861.29797591</v>
      </c>
      <c r="BC212">
        <f t="shared" si="57"/>
        <v>110848.266224699</v>
      </c>
      <c r="BD212">
        <f t="shared" si="58"/>
        <v>0.0125</v>
      </c>
      <c r="BG212">
        <f t="shared" si="66"/>
        <v>0</v>
      </c>
      <c r="BH212">
        <f t="shared" si="67"/>
        <v>7170079.31508434</v>
      </c>
      <c r="BI212">
        <f t="shared" si="59"/>
        <v>89625.9914385543</v>
      </c>
      <c r="BJ212">
        <f t="shared" si="60"/>
        <v>0.0125</v>
      </c>
    </row>
    <row r="213" spans="39:62">
      <c r="AM213">
        <v>63.69</v>
      </c>
      <c r="AN213">
        <f t="shared" si="61"/>
        <v>0</v>
      </c>
      <c r="AO213">
        <f t="shared" si="68"/>
        <v>0</v>
      </c>
      <c r="AP213">
        <f t="shared" si="69"/>
        <v>0</v>
      </c>
      <c r="AQ213">
        <f t="shared" si="73"/>
        <v>0</v>
      </c>
      <c r="AR213">
        <f t="shared" si="70"/>
        <v>7718359.29251081</v>
      </c>
      <c r="AS213">
        <f t="shared" si="62"/>
        <v>96479.4911563852</v>
      </c>
      <c r="AT213">
        <f t="shared" si="63"/>
        <v>0.0125</v>
      </c>
      <c r="AW213">
        <v>161.11</v>
      </c>
      <c r="AX213">
        <f t="shared" si="56"/>
        <v>0</v>
      </c>
      <c r="AY213">
        <f t="shared" si="64"/>
        <v>0</v>
      </c>
      <c r="AZ213">
        <f t="shared" si="71"/>
        <v>0</v>
      </c>
      <c r="BA213">
        <f t="shared" si="72"/>
        <v>0</v>
      </c>
      <c r="BB213">
        <f t="shared" si="65"/>
        <v>8867861.29797591</v>
      </c>
      <c r="BC213">
        <f t="shared" si="57"/>
        <v>110848.266224699</v>
      </c>
      <c r="BD213">
        <f t="shared" si="58"/>
        <v>0.0125</v>
      </c>
      <c r="BG213">
        <f t="shared" si="66"/>
        <v>0</v>
      </c>
      <c r="BH213">
        <f t="shared" si="67"/>
        <v>7170079.31508434</v>
      </c>
      <c r="BI213">
        <f t="shared" si="59"/>
        <v>89625.9914385543</v>
      </c>
      <c r="BJ213">
        <f t="shared" si="60"/>
        <v>0.0125</v>
      </c>
    </row>
    <row r="214" spans="39:62">
      <c r="AM214">
        <v>63.2</v>
      </c>
      <c r="AN214">
        <f t="shared" si="61"/>
        <v>0</v>
      </c>
      <c r="AO214">
        <f t="shared" si="68"/>
        <v>0</v>
      </c>
      <c r="AP214">
        <f t="shared" si="69"/>
        <v>0</v>
      </c>
      <c r="AQ214">
        <f t="shared" si="73"/>
        <v>0</v>
      </c>
      <c r="AR214">
        <f t="shared" si="70"/>
        <v>7718359.29251081</v>
      </c>
      <c r="AS214">
        <f t="shared" si="62"/>
        <v>96479.4911563852</v>
      </c>
      <c r="AT214">
        <f t="shared" si="63"/>
        <v>0.0125</v>
      </c>
      <c r="AW214">
        <v>161.04</v>
      </c>
      <c r="AX214">
        <f t="shared" si="56"/>
        <v>0</v>
      </c>
      <c r="AY214">
        <f t="shared" si="64"/>
        <v>0</v>
      </c>
      <c r="AZ214">
        <f t="shared" si="71"/>
        <v>0</v>
      </c>
      <c r="BA214">
        <f t="shared" si="72"/>
        <v>0</v>
      </c>
      <c r="BB214">
        <f t="shared" si="65"/>
        <v>8867861.29797591</v>
      </c>
      <c r="BC214">
        <f t="shared" si="57"/>
        <v>110848.266224699</v>
      </c>
      <c r="BD214">
        <f t="shared" si="58"/>
        <v>0.0125</v>
      </c>
      <c r="BG214">
        <f t="shared" si="66"/>
        <v>0</v>
      </c>
      <c r="BH214">
        <f t="shared" si="67"/>
        <v>7170079.31508434</v>
      </c>
      <c r="BI214">
        <f t="shared" si="59"/>
        <v>89625.9914385543</v>
      </c>
      <c r="BJ214">
        <f t="shared" si="60"/>
        <v>0.0125</v>
      </c>
    </row>
    <row r="215" spans="39:62">
      <c r="AM215">
        <v>63.39</v>
      </c>
      <c r="AN215">
        <f t="shared" si="61"/>
        <v>0</v>
      </c>
      <c r="AO215">
        <f t="shared" si="68"/>
        <v>0</v>
      </c>
      <c r="AP215">
        <f t="shared" si="69"/>
        <v>0</v>
      </c>
      <c r="AQ215">
        <f t="shared" si="73"/>
        <v>0</v>
      </c>
      <c r="AR215">
        <f t="shared" si="70"/>
        <v>7718359.29251081</v>
      </c>
      <c r="AS215">
        <f t="shared" si="62"/>
        <v>96479.4911563852</v>
      </c>
      <c r="AT215">
        <f t="shared" si="63"/>
        <v>0.0125</v>
      </c>
      <c r="AW215">
        <v>161.61</v>
      </c>
      <c r="AX215">
        <f t="shared" si="56"/>
        <v>0</v>
      </c>
      <c r="AY215">
        <f t="shared" si="64"/>
        <v>0</v>
      </c>
      <c r="AZ215">
        <f t="shared" si="71"/>
        <v>0</v>
      </c>
      <c r="BA215">
        <f t="shared" si="72"/>
        <v>0</v>
      </c>
      <c r="BB215">
        <f t="shared" si="65"/>
        <v>8867861.29797591</v>
      </c>
      <c r="BC215">
        <f t="shared" si="57"/>
        <v>110848.266224699</v>
      </c>
      <c r="BD215">
        <f t="shared" si="58"/>
        <v>0.0125</v>
      </c>
      <c r="BG215">
        <f t="shared" si="66"/>
        <v>0</v>
      </c>
      <c r="BH215">
        <f t="shared" si="67"/>
        <v>7170079.31508434</v>
      </c>
      <c r="BI215">
        <f t="shared" si="59"/>
        <v>89625.9914385543</v>
      </c>
      <c r="BJ215">
        <f t="shared" si="60"/>
        <v>0.0125</v>
      </c>
    </row>
    <row r="216" spans="39:62">
      <c r="AM216">
        <v>63.455</v>
      </c>
      <c r="AN216">
        <f t="shared" si="61"/>
        <v>0</v>
      </c>
      <c r="AO216">
        <f t="shared" si="68"/>
        <v>0</v>
      </c>
      <c r="AP216">
        <f t="shared" si="69"/>
        <v>0</v>
      </c>
      <c r="AQ216">
        <f t="shared" si="73"/>
        <v>0</v>
      </c>
      <c r="AR216">
        <f t="shared" si="70"/>
        <v>7718359.29251081</v>
      </c>
      <c r="AS216">
        <f t="shared" si="62"/>
        <v>96479.4911563852</v>
      </c>
      <c r="AT216">
        <f t="shared" si="63"/>
        <v>0.0125</v>
      </c>
      <c r="AW216">
        <v>162.38</v>
      </c>
      <c r="AX216">
        <f t="shared" si="56"/>
        <v>0</v>
      </c>
      <c r="AY216">
        <f t="shared" si="64"/>
        <v>0</v>
      </c>
      <c r="AZ216">
        <f t="shared" si="71"/>
        <v>0</v>
      </c>
      <c r="BA216">
        <f t="shared" si="72"/>
        <v>0</v>
      </c>
      <c r="BB216">
        <f t="shared" si="65"/>
        <v>8867861.29797591</v>
      </c>
      <c r="BC216">
        <f t="shared" si="57"/>
        <v>110848.266224699</v>
      </c>
      <c r="BD216">
        <f t="shared" si="58"/>
        <v>0.0125</v>
      </c>
      <c r="BG216">
        <f t="shared" si="66"/>
        <v>0</v>
      </c>
      <c r="BH216">
        <f t="shared" si="67"/>
        <v>7170079.31508434</v>
      </c>
      <c r="BI216">
        <f t="shared" si="59"/>
        <v>89625.9914385543</v>
      </c>
      <c r="BJ216">
        <f t="shared" si="60"/>
        <v>0.0125</v>
      </c>
    </row>
    <row r="217" spans="39:62">
      <c r="AM217">
        <v>63.86</v>
      </c>
      <c r="AN217">
        <f t="shared" si="61"/>
        <v>0</v>
      </c>
      <c r="AO217">
        <f t="shared" si="68"/>
        <v>0</v>
      </c>
      <c r="AP217">
        <f t="shared" si="69"/>
        <v>0</v>
      </c>
      <c r="AQ217">
        <f t="shared" si="73"/>
        <v>0</v>
      </c>
      <c r="AR217">
        <f t="shared" si="70"/>
        <v>7718359.29251081</v>
      </c>
      <c r="AS217">
        <f t="shared" si="62"/>
        <v>96479.4911563852</v>
      </c>
      <c r="AT217">
        <f t="shared" si="63"/>
        <v>0.0125</v>
      </c>
      <c r="AW217">
        <v>162.71</v>
      </c>
      <c r="AX217">
        <f t="shared" si="56"/>
        <v>0</v>
      </c>
      <c r="AY217">
        <f t="shared" si="64"/>
        <v>0</v>
      </c>
      <c r="AZ217">
        <f t="shared" si="71"/>
        <v>0</v>
      </c>
      <c r="BA217">
        <f t="shared" si="72"/>
        <v>0</v>
      </c>
      <c r="BB217">
        <f t="shared" si="65"/>
        <v>8867861.29797591</v>
      </c>
      <c r="BC217">
        <f t="shared" si="57"/>
        <v>110848.266224699</v>
      </c>
      <c r="BD217">
        <f t="shared" si="58"/>
        <v>0.0125</v>
      </c>
      <c r="BG217">
        <f t="shared" si="66"/>
        <v>0</v>
      </c>
      <c r="BH217">
        <f t="shared" si="67"/>
        <v>7170079.31508434</v>
      </c>
      <c r="BI217">
        <f t="shared" si="59"/>
        <v>89625.9914385543</v>
      </c>
      <c r="BJ217">
        <f t="shared" si="60"/>
        <v>0.0125</v>
      </c>
    </row>
    <row r="218" spans="39:62">
      <c r="AM218">
        <v>63.52</v>
      </c>
      <c r="AN218">
        <f t="shared" si="61"/>
        <v>0</v>
      </c>
      <c r="AO218">
        <f t="shared" si="68"/>
        <v>0</v>
      </c>
      <c r="AP218">
        <f t="shared" si="69"/>
        <v>0</v>
      </c>
      <c r="AQ218">
        <f t="shared" si="73"/>
        <v>0</v>
      </c>
      <c r="AR218">
        <f t="shared" si="70"/>
        <v>7718359.29251081</v>
      </c>
      <c r="AS218">
        <f t="shared" si="62"/>
        <v>96479.4911563852</v>
      </c>
      <c r="AT218">
        <f t="shared" si="63"/>
        <v>0.0125</v>
      </c>
      <c r="AW218">
        <v>162.75</v>
      </c>
      <c r="AX218">
        <f t="shared" si="56"/>
        <v>0</v>
      </c>
      <c r="AY218">
        <f t="shared" si="64"/>
        <v>0</v>
      </c>
      <c r="AZ218">
        <f t="shared" si="71"/>
        <v>0</v>
      </c>
      <c r="BA218">
        <f t="shared" si="72"/>
        <v>0</v>
      </c>
      <c r="BB218">
        <f t="shared" si="65"/>
        <v>8867861.29797591</v>
      </c>
      <c r="BC218">
        <f t="shared" si="57"/>
        <v>110848.266224699</v>
      </c>
      <c r="BD218">
        <f t="shared" si="58"/>
        <v>0.0125</v>
      </c>
      <c r="BG218">
        <f t="shared" si="66"/>
        <v>0</v>
      </c>
      <c r="BH218">
        <f t="shared" si="67"/>
        <v>7170079.31508434</v>
      </c>
      <c r="BI218">
        <f t="shared" si="59"/>
        <v>89625.9914385543</v>
      </c>
      <c r="BJ218">
        <f t="shared" si="60"/>
        <v>0.0125</v>
      </c>
    </row>
    <row r="219" spans="39:62">
      <c r="AM219">
        <v>63.875</v>
      </c>
      <c r="AN219">
        <f t="shared" si="61"/>
        <v>0</v>
      </c>
      <c r="AO219">
        <f t="shared" si="68"/>
        <v>0</v>
      </c>
      <c r="AP219">
        <f t="shared" si="69"/>
        <v>0</v>
      </c>
      <c r="AQ219">
        <f t="shared" si="73"/>
        <v>0</v>
      </c>
      <c r="AR219">
        <f t="shared" si="70"/>
        <v>7718359.29251081</v>
      </c>
      <c r="AS219">
        <f t="shared" si="62"/>
        <v>96479.4911563852</v>
      </c>
      <c r="AT219">
        <f t="shared" si="63"/>
        <v>0.0125</v>
      </c>
      <c r="AW219">
        <v>162.63</v>
      </c>
      <c r="AX219">
        <f t="shared" si="56"/>
        <v>0</v>
      </c>
      <c r="AY219">
        <f t="shared" si="64"/>
        <v>0</v>
      </c>
      <c r="AZ219">
        <f t="shared" si="71"/>
        <v>0</v>
      </c>
      <c r="BA219">
        <f t="shared" si="72"/>
        <v>0</v>
      </c>
      <c r="BB219">
        <f t="shared" si="65"/>
        <v>8867861.29797591</v>
      </c>
      <c r="BC219">
        <f t="shared" si="57"/>
        <v>110848.266224699</v>
      </c>
      <c r="BD219">
        <f t="shared" si="58"/>
        <v>0.0125</v>
      </c>
      <c r="BG219">
        <f t="shared" si="66"/>
        <v>0</v>
      </c>
      <c r="BH219">
        <f t="shared" si="67"/>
        <v>7170079.31508434</v>
      </c>
      <c r="BI219">
        <f t="shared" si="59"/>
        <v>89625.9914385543</v>
      </c>
      <c r="BJ219">
        <f t="shared" si="60"/>
        <v>0.0125</v>
      </c>
    </row>
    <row r="220" spans="39:62">
      <c r="AM220">
        <v>64.395</v>
      </c>
      <c r="AN220">
        <f t="shared" si="61"/>
        <v>0</v>
      </c>
      <c r="AO220">
        <f t="shared" si="68"/>
        <v>0</v>
      </c>
      <c r="AP220">
        <f t="shared" si="69"/>
        <v>0</v>
      </c>
      <c r="AQ220">
        <f t="shared" si="73"/>
        <v>0</v>
      </c>
      <c r="AR220">
        <f t="shared" si="70"/>
        <v>7718359.29251081</v>
      </c>
      <c r="AS220">
        <f t="shared" si="62"/>
        <v>96479.4911563852</v>
      </c>
      <c r="AT220">
        <f t="shared" si="63"/>
        <v>0.0125</v>
      </c>
      <c r="AW220">
        <v>162.69</v>
      </c>
      <c r="AX220">
        <f t="shared" si="56"/>
        <v>0</v>
      </c>
      <c r="AY220">
        <f t="shared" si="64"/>
        <v>0</v>
      </c>
      <c r="AZ220">
        <f t="shared" si="71"/>
        <v>0</v>
      </c>
      <c r="BA220">
        <f t="shared" si="72"/>
        <v>0</v>
      </c>
      <c r="BB220">
        <f t="shared" si="65"/>
        <v>8867861.29797591</v>
      </c>
      <c r="BC220">
        <f t="shared" si="57"/>
        <v>110848.266224699</v>
      </c>
      <c r="BD220">
        <f t="shared" si="58"/>
        <v>0.0125</v>
      </c>
      <c r="BG220">
        <f t="shared" si="66"/>
        <v>0</v>
      </c>
      <c r="BH220">
        <f t="shared" si="67"/>
        <v>7170079.31508434</v>
      </c>
      <c r="BI220">
        <f t="shared" si="59"/>
        <v>89625.9914385543</v>
      </c>
      <c r="BJ220">
        <f t="shared" si="60"/>
        <v>0.0125</v>
      </c>
    </row>
    <row r="221" spans="39:62">
      <c r="AM221">
        <v>65.26</v>
      </c>
      <c r="AN221">
        <f t="shared" si="61"/>
        <v>0</v>
      </c>
      <c r="AO221">
        <f t="shared" si="68"/>
        <v>0</v>
      </c>
      <c r="AP221">
        <f t="shared" si="69"/>
        <v>0</v>
      </c>
      <c r="AQ221">
        <f t="shared" si="73"/>
        <v>0</v>
      </c>
      <c r="AR221">
        <f t="shared" si="70"/>
        <v>7718359.29251081</v>
      </c>
      <c r="AS221">
        <f t="shared" si="62"/>
        <v>96479.4911563852</v>
      </c>
      <c r="AT221">
        <f t="shared" si="63"/>
        <v>0.0125</v>
      </c>
      <c r="AW221">
        <v>162.74</v>
      </c>
      <c r="AX221">
        <f t="shared" si="56"/>
        <v>0</v>
      </c>
      <c r="AY221">
        <f t="shared" si="64"/>
        <v>0</v>
      </c>
      <c r="AZ221">
        <f t="shared" si="71"/>
        <v>0</v>
      </c>
      <c r="BA221">
        <f t="shared" si="72"/>
        <v>0</v>
      </c>
      <c r="BB221">
        <f t="shared" si="65"/>
        <v>8867861.29797591</v>
      </c>
      <c r="BC221">
        <f t="shared" si="57"/>
        <v>110848.266224699</v>
      </c>
      <c r="BD221">
        <f t="shared" si="58"/>
        <v>0.0125</v>
      </c>
      <c r="BG221">
        <f t="shared" si="66"/>
        <v>0</v>
      </c>
      <c r="BH221">
        <f t="shared" si="67"/>
        <v>7170079.31508434</v>
      </c>
      <c r="BI221">
        <f t="shared" si="59"/>
        <v>89625.9914385543</v>
      </c>
      <c r="BJ221">
        <f t="shared" si="60"/>
        <v>0.0125</v>
      </c>
    </row>
    <row r="222" spans="39:62">
      <c r="AM222">
        <v>65</v>
      </c>
      <c r="AN222">
        <f t="shared" si="61"/>
        <v>0</v>
      </c>
      <c r="AO222">
        <f t="shared" si="68"/>
        <v>0</v>
      </c>
      <c r="AP222">
        <f t="shared" si="69"/>
        <v>0</v>
      </c>
      <c r="AQ222">
        <f t="shared" si="73"/>
        <v>0</v>
      </c>
      <c r="AR222">
        <f t="shared" si="70"/>
        <v>7718359.29251081</v>
      </c>
      <c r="AS222">
        <f t="shared" si="62"/>
        <v>96479.4911563852</v>
      </c>
      <c r="AT222">
        <f t="shared" si="63"/>
        <v>0.0125</v>
      </c>
      <c r="AW222">
        <v>163.14</v>
      </c>
      <c r="AX222">
        <f t="shared" si="56"/>
        <v>0</v>
      </c>
      <c r="AY222">
        <f t="shared" si="64"/>
        <v>0</v>
      </c>
      <c r="AZ222">
        <f t="shared" si="71"/>
        <v>0</v>
      </c>
      <c r="BA222">
        <f t="shared" si="72"/>
        <v>0</v>
      </c>
      <c r="BB222">
        <f t="shared" si="65"/>
        <v>8867861.29797591</v>
      </c>
      <c r="BC222">
        <f t="shared" si="57"/>
        <v>110848.266224699</v>
      </c>
      <c r="BD222">
        <f t="shared" si="58"/>
        <v>0.0125</v>
      </c>
      <c r="BG222">
        <f t="shared" si="66"/>
        <v>0</v>
      </c>
      <c r="BH222">
        <f t="shared" si="67"/>
        <v>7170079.31508434</v>
      </c>
      <c r="BI222">
        <f t="shared" si="59"/>
        <v>89625.9914385543</v>
      </c>
      <c r="BJ222">
        <f t="shared" si="60"/>
        <v>0.0125</v>
      </c>
    </row>
    <row r="223" spans="39:62">
      <c r="AM223">
        <v>64.4</v>
      </c>
      <c r="AN223">
        <f t="shared" si="61"/>
        <v>0</v>
      </c>
      <c r="AO223">
        <f t="shared" si="68"/>
        <v>0</v>
      </c>
      <c r="AP223">
        <f t="shared" si="69"/>
        <v>0</v>
      </c>
      <c r="AQ223">
        <f t="shared" si="73"/>
        <v>0</v>
      </c>
      <c r="AR223">
        <f t="shared" si="70"/>
        <v>7718359.29251081</v>
      </c>
      <c r="AS223">
        <f t="shared" si="62"/>
        <v>96479.4911563852</v>
      </c>
      <c r="AT223">
        <f t="shared" si="63"/>
        <v>0.0125</v>
      </c>
      <c r="AW223">
        <v>163.28</v>
      </c>
      <c r="AX223">
        <f t="shared" si="56"/>
        <v>0</v>
      </c>
      <c r="AY223">
        <f t="shared" si="64"/>
        <v>0</v>
      </c>
      <c r="AZ223">
        <f t="shared" si="71"/>
        <v>0</v>
      </c>
      <c r="BA223">
        <f t="shared" si="72"/>
        <v>0</v>
      </c>
      <c r="BB223">
        <f t="shared" si="65"/>
        <v>8867861.29797591</v>
      </c>
      <c r="BC223">
        <f t="shared" si="57"/>
        <v>110848.266224699</v>
      </c>
      <c r="BD223">
        <f t="shared" si="58"/>
        <v>0.0125</v>
      </c>
      <c r="BG223">
        <f t="shared" si="66"/>
        <v>0</v>
      </c>
      <c r="BH223">
        <f t="shared" si="67"/>
        <v>7170079.31508434</v>
      </c>
      <c r="BI223">
        <f t="shared" si="59"/>
        <v>89625.9914385543</v>
      </c>
      <c r="BJ223">
        <f t="shared" si="60"/>
        <v>0.0125</v>
      </c>
    </row>
    <row r="224" spans="39:62">
      <c r="AM224">
        <v>64.07</v>
      </c>
      <c r="AN224">
        <f t="shared" si="61"/>
        <v>0</v>
      </c>
      <c r="AO224">
        <f t="shared" si="68"/>
        <v>0</v>
      </c>
      <c r="AP224">
        <f t="shared" si="69"/>
        <v>0</v>
      </c>
      <c r="AQ224">
        <f t="shared" si="73"/>
        <v>0</v>
      </c>
      <c r="AR224">
        <f t="shared" si="70"/>
        <v>7718359.29251081</v>
      </c>
      <c r="AS224">
        <f t="shared" si="62"/>
        <v>96479.4911563852</v>
      </c>
      <c r="AT224">
        <f t="shared" si="63"/>
        <v>0.0125</v>
      </c>
      <c r="AW224">
        <v>163.4</v>
      </c>
      <c r="AX224">
        <f t="shared" si="56"/>
        <v>0</v>
      </c>
      <c r="AY224">
        <f t="shared" si="64"/>
        <v>0</v>
      </c>
      <c r="AZ224">
        <f t="shared" si="71"/>
        <v>0</v>
      </c>
      <c r="BA224">
        <f t="shared" si="72"/>
        <v>0</v>
      </c>
      <c r="BB224">
        <f t="shared" si="65"/>
        <v>8867861.29797591</v>
      </c>
      <c r="BC224">
        <f t="shared" si="57"/>
        <v>110848.266224699</v>
      </c>
      <c r="BD224">
        <f t="shared" si="58"/>
        <v>0.0125</v>
      </c>
      <c r="BG224">
        <f t="shared" si="66"/>
        <v>0</v>
      </c>
      <c r="BH224">
        <f t="shared" si="67"/>
        <v>7170079.31508434</v>
      </c>
      <c r="BI224">
        <f t="shared" si="59"/>
        <v>89625.9914385543</v>
      </c>
      <c r="BJ224">
        <f t="shared" si="60"/>
        <v>0.0125</v>
      </c>
    </row>
    <row r="225" spans="39:62">
      <c r="AM225">
        <v>63.755</v>
      </c>
      <c r="AN225">
        <f t="shared" si="61"/>
        <v>0</v>
      </c>
      <c r="AO225">
        <f t="shared" si="68"/>
        <v>0</v>
      </c>
      <c r="AP225">
        <f t="shared" si="69"/>
        <v>0</v>
      </c>
      <c r="AQ225">
        <f t="shared" si="73"/>
        <v>0</v>
      </c>
      <c r="AR225">
        <f t="shared" si="70"/>
        <v>7718359.29251081</v>
      </c>
      <c r="AS225">
        <f t="shared" si="62"/>
        <v>96479.4911563852</v>
      </c>
      <c r="AT225">
        <f t="shared" si="63"/>
        <v>0.0125</v>
      </c>
      <c r="AW225">
        <v>162.58</v>
      </c>
      <c r="AX225">
        <f t="shared" si="56"/>
        <v>0</v>
      </c>
      <c r="AY225">
        <f t="shared" si="64"/>
        <v>0</v>
      </c>
      <c r="AZ225">
        <f t="shared" si="71"/>
        <v>0</v>
      </c>
      <c r="BA225">
        <f t="shared" si="72"/>
        <v>0</v>
      </c>
      <c r="BB225">
        <f t="shared" si="65"/>
        <v>8867861.29797591</v>
      </c>
      <c r="BC225">
        <f t="shared" si="57"/>
        <v>110848.266224699</v>
      </c>
      <c r="BD225">
        <f t="shared" si="58"/>
        <v>0.0125</v>
      </c>
      <c r="BG225">
        <f t="shared" si="66"/>
        <v>0</v>
      </c>
      <c r="BH225">
        <f t="shared" si="67"/>
        <v>7170079.31508434</v>
      </c>
      <c r="BI225">
        <f t="shared" si="59"/>
        <v>89625.9914385543</v>
      </c>
      <c r="BJ225">
        <f t="shared" si="60"/>
        <v>0.0125</v>
      </c>
    </row>
    <row r="226" spans="39:62">
      <c r="AM226">
        <v>63.625</v>
      </c>
      <c r="AN226">
        <f t="shared" si="61"/>
        <v>0</v>
      </c>
      <c r="AO226">
        <f t="shared" si="68"/>
        <v>0</v>
      </c>
      <c r="AP226">
        <f t="shared" si="69"/>
        <v>0</v>
      </c>
      <c r="AQ226">
        <f t="shared" si="73"/>
        <v>0</v>
      </c>
      <c r="AR226">
        <f t="shared" si="70"/>
        <v>7718359.29251081</v>
      </c>
      <c r="AS226">
        <f t="shared" si="62"/>
        <v>96479.4911563852</v>
      </c>
      <c r="AT226">
        <f t="shared" si="63"/>
        <v>0.0125</v>
      </c>
      <c r="AW226">
        <v>162.19</v>
      </c>
      <c r="AX226">
        <f t="shared" si="56"/>
        <v>0</v>
      </c>
      <c r="AY226">
        <f t="shared" si="64"/>
        <v>0</v>
      </c>
      <c r="AZ226">
        <f t="shared" si="71"/>
        <v>0</v>
      </c>
      <c r="BA226">
        <f t="shared" si="72"/>
        <v>0</v>
      </c>
      <c r="BB226">
        <f t="shared" si="65"/>
        <v>8867861.29797591</v>
      </c>
      <c r="BC226">
        <f t="shared" si="57"/>
        <v>110848.266224699</v>
      </c>
      <c r="BD226">
        <f t="shared" si="58"/>
        <v>0.0125</v>
      </c>
      <c r="BG226">
        <f t="shared" si="66"/>
        <v>0</v>
      </c>
      <c r="BH226">
        <f t="shared" si="67"/>
        <v>7170079.31508434</v>
      </c>
      <c r="BI226">
        <f t="shared" si="59"/>
        <v>89625.9914385543</v>
      </c>
      <c r="BJ226">
        <f t="shared" si="60"/>
        <v>0.0125</v>
      </c>
    </row>
    <row r="227" spans="39:62">
      <c r="AM227">
        <v>63.87</v>
      </c>
      <c r="AN227">
        <f t="shared" si="61"/>
        <v>0</v>
      </c>
      <c r="AO227">
        <f t="shared" si="68"/>
        <v>0</v>
      </c>
      <c r="AP227">
        <f t="shared" si="69"/>
        <v>0</v>
      </c>
      <c r="AQ227">
        <f t="shared" si="73"/>
        <v>0</v>
      </c>
      <c r="AR227">
        <f t="shared" si="70"/>
        <v>7718359.29251081</v>
      </c>
      <c r="AS227">
        <f t="shared" si="62"/>
        <v>96479.4911563852</v>
      </c>
      <c r="AT227">
        <f t="shared" si="63"/>
        <v>0.0125</v>
      </c>
      <c r="AW227">
        <v>162.08</v>
      </c>
      <c r="AX227">
        <f t="shared" si="56"/>
        <v>0</v>
      </c>
      <c r="AY227">
        <f t="shared" si="64"/>
        <v>0</v>
      </c>
      <c r="AZ227">
        <f t="shared" si="71"/>
        <v>0</v>
      </c>
      <c r="BA227">
        <f t="shared" si="72"/>
        <v>0</v>
      </c>
      <c r="BB227">
        <f t="shared" si="65"/>
        <v>8867861.29797591</v>
      </c>
      <c r="BC227">
        <f t="shared" si="57"/>
        <v>110848.266224699</v>
      </c>
      <c r="BD227">
        <f t="shared" si="58"/>
        <v>0.0125</v>
      </c>
      <c r="BG227">
        <f t="shared" si="66"/>
        <v>0</v>
      </c>
      <c r="BH227">
        <f t="shared" si="67"/>
        <v>7170079.31508434</v>
      </c>
      <c r="BI227">
        <f t="shared" si="59"/>
        <v>89625.9914385543</v>
      </c>
      <c r="BJ227">
        <f t="shared" si="60"/>
        <v>0.0125</v>
      </c>
    </row>
    <row r="228" spans="39:62">
      <c r="AM228">
        <v>65.15</v>
      </c>
      <c r="AN228">
        <f t="shared" si="61"/>
        <v>0</v>
      </c>
      <c r="AO228">
        <f t="shared" si="68"/>
        <v>0</v>
      </c>
      <c r="AP228">
        <f t="shared" si="69"/>
        <v>0</v>
      </c>
      <c r="AQ228">
        <f t="shared" si="73"/>
        <v>0</v>
      </c>
      <c r="AR228">
        <f t="shared" si="70"/>
        <v>7718359.29251081</v>
      </c>
      <c r="AS228">
        <f t="shared" si="62"/>
        <v>96479.4911563852</v>
      </c>
      <c r="AT228">
        <f t="shared" si="63"/>
        <v>0.0125</v>
      </c>
      <c r="AW228">
        <v>162.39</v>
      </c>
      <c r="AX228">
        <f t="shared" si="56"/>
        <v>0</v>
      </c>
      <c r="AY228">
        <f t="shared" si="64"/>
        <v>0</v>
      </c>
      <c r="AZ228">
        <f t="shared" si="71"/>
        <v>0</v>
      </c>
      <c r="BA228">
        <f t="shared" si="72"/>
        <v>0</v>
      </c>
      <c r="BB228">
        <f t="shared" si="65"/>
        <v>8867861.29797591</v>
      </c>
      <c r="BC228">
        <f t="shared" si="57"/>
        <v>110848.266224699</v>
      </c>
      <c r="BD228">
        <f t="shared" si="58"/>
        <v>0.0125</v>
      </c>
      <c r="BG228">
        <f t="shared" si="66"/>
        <v>0</v>
      </c>
      <c r="BH228">
        <f t="shared" si="67"/>
        <v>7170079.31508434</v>
      </c>
      <c r="BI228">
        <f t="shared" si="59"/>
        <v>89625.9914385543</v>
      </c>
      <c r="BJ228">
        <f t="shared" si="60"/>
        <v>0.0125</v>
      </c>
    </row>
    <row r="229" spans="39:62">
      <c r="AM229">
        <v>65.165</v>
      </c>
      <c r="AN229">
        <f t="shared" si="61"/>
        <v>0</v>
      </c>
      <c r="AO229">
        <f t="shared" si="68"/>
        <v>0</v>
      </c>
      <c r="AP229">
        <f t="shared" si="69"/>
        <v>0</v>
      </c>
      <c r="AQ229">
        <f t="shared" si="73"/>
        <v>0</v>
      </c>
      <c r="AR229">
        <f t="shared" si="70"/>
        <v>7718359.29251081</v>
      </c>
      <c r="AS229">
        <f t="shared" si="62"/>
        <v>96479.4911563852</v>
      </c>
      <c r="AT229">
        <f t="shared" si="63"/>
        <v>0.0125</v>
      </c>
      <c r="AW229">
        <v>162.64</v>
      </c>
      <c r="AX229">
        <f t="shared" si="56"/>
        <v>0</v>
      </c>
      <c r="AY229">
        <f t="shared" si="64"/>
        <v>0</v>
      </c>
      <c r="AZ229">
        <f t="shared" si="71"/>
        <v>0</v>
      </c>
      <c r="BA229">
        <f t="shared" si="72"/>
        <v>0</v>
      </c>
      <c r="BB229">
        <f t="shared" si="65"/>
        <v>8867861.29797591</v>
      </c>
      <c r="BC229">
        <f t="shared" si="57"/>
        <v>110848.266224699</v>
      </c>
      <c r="BD229">
        <f t="shared" si="58"/>
        <v>0.0125</v>
      </c>
      <c r="BG229">
        <f t="shared" si="66"/>
        <v>0</v>
      </c>
      <c r="BH229">
        <f t="shared" si="67"/>
        <v>7170079.31508434</v>
      </c>
      <c r="BI229">
        <f t="shared" si="59"/>
        <v>89625.9914385543</v>
      </c>
      <c r="BJ229">
        <f t="shared" si="60"/>
        <v>0.0125</v>
      </c>
    </row>
    <row r="230" spans="39:62">
      <c r="AM230">
        <v>64.77</v>
      </c>
      <c r="AN230">
        <f t="shared" si="61"/>
        <v>0</v>
      </c>
      <c r="AO230">
        <f t="shared" si="68"/>
        <v>0</v>
      </c>
      <c r="AP230">
        <f t="shared" si="69"/>
        <v>0</v>
      </c>
      <c r="AQ230">
        <f t="shared" si="73"/>
        <v>0</v>
      </c>
      <c r="AR230">
        <f t="shared" si="70"/>
        <v>7718359.29251081</v>
      </c>
      <c r="AS230">
        <f t="shared" si="62"/>
        <v>96479.4911563852</v>
      </c>
      <c r="AT230">
        <f t="shared" si="63"/>
        <v>0.0125</v>
      </c>
      <c r="AW230">
        <v>162.7</v>
      </c>
      <c r="AX230">
        <f t="shared" si="56"/>
        <v>0</v>
      </c>
      <c r="AY230">
        <f t="shared" si="64"/>
        <v>0</v>
      </c>
      <c r="AZ230">
        <f t="shared" si="71"/>
        <v>0</v>
      </c>
      <c r="BA230">
        <f t="shared" si="72"/>
        <v>0</v>
      </c>
      <c r="BB230">
        <f t="shared" si="65"/>
        <v>8867861.29797591</v>
      </c>
      <c r="BC230">
        <f t="shared" si="57"/>
        <v>110848.266224699</v>
      </c>
      <c r="BD230">
        <f t="shared" si="58"/>
        <v>0.0125</v>
      </c>
      <c r="BG230">
        <f t="shared" si="66"/>
        <v>0</v>
      </c>
      <c r="BH230">
        <f t="shared" si="67"/>
        <v>7170079.31508434</v>
      </c>
      <c r="BI230">
        <f t="shared" si="59"/>
        <v>89625.9914385543</v>
      </c>
      <c r="BJ230">
        <f t="shared" si="60"/>
        <v>0.0125</v>
      </c>
    </row>
    <row r="231" spans="39:62">
      <c r="AM231">
        <v>65.155</v>
      </c>
      <c r="AN231">
        <f t="shared" si="61"/>
        <v>0</v>
      </c>
      <c r="AO231">
        <f t="shared" si="68"/>
        <v>0</v>
      </c>
      <c r="AP231">
        <f t="shared" si="69"/>
        <v>0</v>
      </c>
      <c r="AQ231">
        <f t="shared" si="73"/>
        <v>0</v>
      </c>
      <c r="AR231">
        <f t="shared" si="70"/>
        <v>7718359.29251081</v>
      </c>
      <c r="AS231">
        <f t="shared" si="62"/>
        <v>96479.4911563852</v>
      </c>
      <c r="AT231">
        <f t="shared" si="63"/>
        <v>0.0125</v>
      </c>
      <c r="AW231">
        <v>162.86</v>
      </c>
      <c r="AX231">
        <f t="shared" si="56"/>
        <v>0</v>
      </c>
      <c r="AY231">
        <f t="shared" si="64"/>
        <v>0</v>
      </c>
      <c r="AZ231">
        <f t="shared" si="71"/>
        <v>0</v>
      </c>
      <c r="BA231">
        <f t="shared" si="72"/>
        <v>0</v>
      </c>
      <c r="BB231">
        <f t="shared" si="65"/>
        <v>8867861.29797591</v>
      </c>
      <c r="BC231">
        <f t="shared" si="57"/>
        <v>110848.266224699</v>
      </c>
      <c r="BD231">
        <f t="shared" si="58"/>
        <v>0.0125</v>
      </c>
      <c r="BG231">
        <f t="shared" si="66"/>
        <v>0</v>
      </c>
      <c r="BH231">
        <f t="shared" si="67"/>
        <v>7170079.31508434</v>
      </c>
      <c r="BI231">
        <f t="shared" si="59"/>
        <v>89625.9914385543</v>
      </c>
      <c r="BJ231">
        <f t="shared" si="60"/>
        <v>0.0125</v>
      </c>
    </row>
    <row r="232" spans="39:62">
      <c r="AM232">
        <v>65.675</v>
      </c>
      <c r="AN232">
        <f t="shared" si="61"/>
        <v>0</v>
      </c>
      <c r="AO232">
        <f t="shared" si="68"/>
        <v>0</v>
      </c>
      <c r="AP232">
        <f t="shared" si="69"/>
        <v>0</v>
      </c>
      <c r="AQ232">
        <f t="shared" si="73"/>
        <v>0</v>
      </c>
      <c r="AR232">
        <f t="shared" si="70"/>
        <v>7718359.29251081</v>
      </c>
      <c r="AS232">
        <f t="shared" si="62"/>
        <v>96479.4911563852</v>
      </c>
      <c r="AT232">
        <f t="shared" si="63"/>
        <v>0.0125</v>
      </c>
      <c r="AW232">
        <v>162.96</v>
      </c>
      <c r="AX232">
        <f t="shared" si="56"/>
        <v>0</v>
      </c>
      <c r="AY232">
        <f t="shared" si="64"/>
        <v>0</v>
      </c>
      <c r="AZ232">
        <f t="shared" si="71"/>
        <v>0</v>
      </c>
      <c r="BA232">
        <f t="shared" si="72"/>
        <v>0</v>
      </c>
      <c r="BB232">
        <f t="shared" si="65"/>
        <v>8867861.29797591</v>
      </c>
      <c r="BC232">
        <f t="shared" si="57"/>
        <v>110848.266224699</v>
      </c>
      <c r="BD232">
        <f t="shared" si="58"/>
        <v>0.0125</v>
      </c>
      <c r="BG232">
        <f t="shared" si="66"/>
        <v>0</v>
      </c>
      <c r="BH232">
        <f t="shared" si="67"/>
        <v>7170079.31508434</v>
      </c>
      <c r="BI232">
        <f t="shared" si="59"/>
        <v>89625.9914385543</v>
      </c>
      <c r="BJ232">
        <f t="shared" si="60"/>
        <v>0.0125</v>
      </c>
    </row>
    <row r="233" spans="39:62">
      <c r="AM233">
        <v>65.625</v>
      </c>
      <c r="AN233">
        <f t="shared" si="61"/>
        <v>0</v>
      </c>
      <c r="AO233">
        <f t="shared" si="68"/>
        <v>0</v>
      </c>
      <c r="AP233">
        <f t="shared" si="69"/>
        <v>0</v>
      </c>
      <c r="AQ233">
        <f t="shared" si="73"/>
        <v>0</v>
      </c>
      <c r="AR233">
        <f t="shared" si="70"/>
        <v>7718359.29251081</v>
      </c>
      <c r="AS233">
        <f t="shared" si="62"/>
        <v>96479.4911563852</v>
      </c>
      <c r="AT233">
        <f t="shared" si="63"/>
        <v>0.0125</v>
      </c>
      <c r="AW233">
        <v>163.08</v>
      </c>
      <c r="AX233">
        <f t="shared" si="56"/>
        <v>0</v>
      </c>
      <c r="AY233">
        <f t="shared" si="64"/>
        <v>0</v>
      </c>
      <c r="AZ233">
        <f t="shared" si="71"/>
        <v>0</v>
      </c>
      <c r="BA233">
        <f t="shared" si="72"/>
        <v>0</v>
      </c>
      <c r="BB233">
        <f t="shared" si="65"/>
        <v>8867861.29797591</v>
      </c>
      <c r="BC233">
        <f t="shared" si="57"/>
        <v>110848.266224699</v>
      </c>
      <c r="BD233">
        <f t="shared" si="58"/>
        <v>0.0125</v>
      </c>
      <c r="BG233">
        <f t="shared" si="66"/>
        <v>0</v>
      </c>
      <c r="BH233">
        <f t="shared" si="67"/>
        <v>7170079.31508434</v>
      </c>
      <c r="BI233">
        <f t="shared" si="59"/>
        <v>89625.9914385543</v>
      </c>
      <c r="BJ233">
        <f t="shared" si="60"/>
        <v>0.0125</v>
      </c>
    </row>
    <row r="234" spans="39:62">
      <c r="AM234">
        <v>65.625</v>
      </c>
      <c r="AN234">
        <f t="shared" si="61"/>
        <v>0</v>
      </c>
      <c r="AO234">
        <f t="shared" si="68"/>
        <v>0</v>
      </c>
      <c r="AP234">
        <f t="shared" si="69"/>
        <v>0</v>
      </c>
      <c r="AQ234">
        <f t="shared" si="73"/>
        <v>0</v>
      </c>
      <c r="AR234">
        <f t="shared" si="70"/>
        <v>7718359.29251081</v>
      </c>
      <c r="AS234">
        <f t="shared" si="62"/>
        <v>96479.4911563852</v>
      </c>
      <c r="AT234">
        <f t="shared" si="63"/>
        <v>0.0125</v>
      </c>
      <c r="AW234">
        <v>162.98</v>
      </c>
      <c r="AX234">
        <f t="shared" si="56"/>
        <v>0</v>
      </c>
      <c r="AY234">
        <f t="shared" si="64"/>
        <v>0</v>
      </c>
      <c r="AZ234">
        <f t="shared" si="71"/>
        <v>0</v>
      </c>
      <c r="BA234">
        <f t="shared" si="72"/>
        <v>0</v>
      </c>
      <c r="BB234">
        <f t="shared" si="65"/>
        <v>8867861.29797591</v>
      </c>
      <c r="BC234">
        <f t="shared" si="57"/>
        <v>110848.266224699</v>
      </c>
      <c r="BD234">
        <f t="shared" si="58"/>
        <v>0.0125</v>
      </c>
      <c r="BG234">
        <f t="shared" si="66"/>
        <v>0</v>
      </c>
      <c r="BH234">
        <f t="shared" si="67"/>
        <v>7170079.31508434</v>
      </c>
      <c r="BI234">
        <f t="shared" si="59"/>
        <v>89625.9914385543</v>
      </c>
      <c r="BJ234">
        <f t="shared" si="60"/>
        <v>0.0125</v>
      </c>
    </row>
    <row r="235" spans="39:62">
      <c r="AM235">
        <v>65.455</v>
      </c>
      <c r="AN235">
        <f t="shared" si="61"/>
        <v>0</v>
      </c>
      <c r="AO235">
        <f t="shared" si="68"/>
        <v>0</v>
      </c>
      <c r="AP235">
        <f t="shared" si="69"/>
        <v>0</v>
      </c>
      <c r="AQ235">
        <f t="shared" si="73"/>
        <v>0</v>
      </c>
      <c r="AR235">
        <f t="shared" si="70"/>
        <v>7718359.29251081</v>
      </c>
      <c r="AS235">
        <f t="shared" si="62"/>
        <v>96479.4911563852</v>
      </c>
      <c r="AT235">
        <f t="shared" si="63"/>
        <v>0.0125</v>
      </c>
      <c r="AW235">
        <v>163.06</v>
      </c>
      <c r="AX235">
        <f t="shared" si="56"/>
        <v>0</v>
      </c>
      <c r="AY235">
        <f t="shared" si="64"/>
        <v>0</v>
      </c>
      <c r="AZ235">
        <f t="shared" si="71"/>
        <v>0</v>
      </c>
      <c r="BA235">
        <f t="shared" si="72"/>
        <v>0</v>
      </c>
      <c r="BB235">
        <f t="shared" si="65"/>
        <v>8867861.29797591</v>
      </c>
      <c r="BC235">
        <f t="shared" si="57"/>
        <v>110848.266224699</v>
      </c>
      <c r="BD235">
        <f t="shared" si="58"/>
        <v>0.0125</v>
      </c>
      <c r="BG235">
        <f t="shared" si="66"/>
        <v>0</v>
      </c>
      <c r="BH235">
        <f t="shared" si="67"/>
        <v>7170079.31508434</v>
      </c>
      <c r="BI235">
        <f t="shared" si="59"/>
        <v>89625.9914385543</v>
      </c>
      <c r="BJ235">
        <f t="shared" si="60"/>
        <v>0.0125</v>
      </c>
    </row>
    <row r="236" spans="39:62">
      <c r="AM236">
        <v>65.94</v>
      </c>
      <c r="AN236">
        <f t="shared" si="61"/>
        <v>0</v>
      </c>
      <c r="AO236">
        <f t="shared" si="68"/>
        <v>0</v>
      </c>
      <c r="AP236">
        <f t="shared" si="69"/>
        <v>0</v>
      </c>
      <c r="AQ236">
        <f t="shared" si="73"/>
        <v>0</v>
      </c>
      <c r="AR236">
        <f t="shared" si="70"/>
        <v>7718359.29251081</v>
      </c>
      <c r="AS236">
        <f t="shared" si="62"/>
        <v>96479.4911563852</v>
      </c>
      <c r="AT236">
        <f t="shared" si="63"/>
        <v>0.0125</v>
      </c>
      <c r="AW236">
        <v>162.86</v>
      </c>
      <c r="AX236">
        <f t="shared" si="56"/>
        <v>0</v>
      </c>
      <c r="AY236">
        <f t="shared" si="64"/>
        <v>0</v>
      </c>
      <c r="AZ236">
        <f t="shared" si="71"/>
        <v>0</v>
      </c>
      <c r="BA236">
        <f t="shared" si="72"/>
        <v>0</v>
      </c>
      <c r="BB236">
        <f t="shared" si="65"/>
        <v>8867861.29797591</v>
      </c>
      <c r="BC236">
        <f t="shared" si="57"/>
        <v>110848.266224699</v>
      </c>
      <c r="BD236">
        <f t="shared" si="58"/>
        <v>0.0125</v>
      </c>
      <c r="BG236">
        <f t="shared" si="66"/>
        <v>0</v>
      </c>
      <c r="BH236">
        <f t="shared" si="67"/>
        <v>7170079.31508434</v>
      </c>
      <c r="BI236">
        <f t="shared" si="59"/>
        <v>89625.9914385543</v>
      </c>
      <c r="BJ236">
        <f t="shared" si="60"/>
        <v>0.0125</v>
      </c>
    </row>
    <row r="237" spans="39:62">
      <c r="AM237">
        <v>66.125</v>
      </c>
      <c r="AN237">
        <f t="shared" si="61"/>
        <v>0</v>
      </c>
      <c r="AO237">
        <f t="shared" si="68"/>
        <v>0</v>
      </c>
      <c r="AP237">
        <f t="shared" si="69"/>
        <v>0</v>
      </c>
      <c r="AQ237">
        <f t="shared" si="73"/>
        <v>0</v>
      </c>
      <c r="AR237">
        <f t="shared" si="70"/>
        <v>7718359.29251081</v>
      </c>
      <c r="AS237">
        <f t="shared" si="62"/>
        <v>96479.4911563852</v>
      </c>
      <c r="AT237">
        <f t="shared" si="63"/>
        <v>0.0125</v>
      </c>
      <c r="AW237">
        <v>163.11</v>
      </c>
      <c r="AX237">
        <f t="shared" si="56"/>
        <v>0</v>
      </c>
      <c r="AY237">
        <f t="shared" si="64"/>
        <v>0</v>
      </c>
      <c r="AZ237">
        <f t="shared" si="71"/>
        <v>0</v>
      </c>
      <c r="BA237">
        <f t="shared" si="72"/>
        <v>0</v>
      </c>
      <c r="BB237">
        <f t="shared" si="65"/>
        <v>8867861.29797591</v>
      </c>
      <c r="BC237">
        <f t="shared" si="57"/>
        <v>110848.266224699</v>
      </c>
      <c r="BD237">
        <f t="shared" si="58"/>
        <v>0.0125</v>
      </c>
      <c r="BG237">
        <f t="shared" si="66"/>
        <v>0</v>
      </c>
      <c r="BH237">
        <f t="shared" si="67"/>
        <v>7170079.31508434</v>
      </c>
      <c r="BI237">
        <f t="shared" si="59"/>
        <v>89625.9914385543</v>
      </c>
      <c r="BJ237">
        <f t="shared" si="60"/>
        <v>0.0125</v>
      </c>
    </row>
    <row r="238" spans="39:62">
      <c r="AM238">
        <v>66.565</v>
      </c>
      <c r="AN238">
        <f t="shared" si="61"/>
        <v>0</v>
      </c>
      <c r="AO238">
        <f t="shared" si="68"/>
        <v>0</v>
      </c>
      <c r="AP238">
        <f t="shared" si="69"/>
        <v>0</v>
      </c>
      <c r="AQ238">
        <f t="shared" si="73"/>
        <v>0</v>
      </c>
      <c r="AR238">
        <f t="shared" si="70"/>
        <v>7718359.29251081</v>
      </c>
      <c r="AS238">
        <f t="shared" si="62"/>
        <v>96479.4911563852</v>
      </c>
      <c r="AT238">
        <f t="shared" si="63"/>
        <v>0.0125</v>
      </c>
      <c r="AW238">
        <v>163.17</v>
      </c>
      <c r="AX238">
        <f t="shared" si="56"/>
        <v>0</v>
      </c>
      <c r="AY238">
        <f t="shared" si="64"/>
        <v>0</v>
      </c>
      <c r="AZ238">
        <f t="shared" si="71"/>
        <v>0</v>
      </c>
      <c r="BA238">
        <f t="shared" si="72"/>
        <v>0</v>
      </c>
      <c r="BB238">
        <f t="shared" si="65"/>
        <v>8867861.29797591</v>
      </c>
      <c r="BC238">
        <f t="shared" si="57"/>
        <v>110848.266224699</v>
      </c>
      <c r="BD238">
        <f t="shared" si="58"/>
        <v>0.0125</v>
      </c>
      <c r="BG238">
        <f t="shared" si="66"/>
        <v>0</v>
      </c>
      <c r="BH238">
        <f t="shared" si="67"/>
        <v>7170079.31508434</v>
      </c>
      <c r="BI238">
        <f t="shared" si="59"/>
        <v>89625.9914385543</v>
      </c>
      <c r="BJ238">
        <f t="shared" si="60"/>
        <v>0.0125</v>
      </c>
    </row>
    <row r="239" spans="39:62">
      <c r="AM239">
        <v>66.27</v>
      </c>
      <c r="AN239">
        <f t="shared" si="61"/>
        <v>0</v>
      </c>
      <c r="AO239">
        <f t="shared" si="68"/>
        <v>0</v>
      </c>
      <c r="AP239">
        <f t="shared" si="69"/>
        <v>0</v>
      </c>
      <c r="AQ239">
        <f t="shared" si="73"/>
        <v>0</v>
      </c>
      <c r="AR239">
        <f t="shared" si="70"/>
        <v>7718359.29251081</v>
      </c>
      <c r="AS239">
        <f t="shared" si="62"/>
        <v>96479.4911563852</v>
      </c>
      <c r="AT239">
        <f t="shared" si="63"/>
        <v>0.0125</v>
      </c>
      <c r="AW239">
        <v>162.48</v>
      </c>
      <c r="AX239">
        <f t="shared" si="56"/>
        <v>0</v>
      </c>
      <c r="AY239">
        <f t="shared" si="64"/>
        <v>0</v>
      </c>
      <c r="AZ239">
        <f t="shared" si="71"/>
        <v>0</v>
      </c>
      <c r="BA239">
        <f t="shared" si="72"/>
        <v>0</v>
      </c>
      <c r="BB239">
        <f t="shared" si="65"/>
        <v>8867861.29797591</v>
      </c>
      <c r="BC239">
        <f t="shared" si="57"/>
        <v>110848.266224699</v>
      </c>
      <c r="BD239">
        <f t="shared" si="58"/>
        <v>0.0125</v>
      </c>
      <c r="BG239">
        <f t="shared" si="66"/>
        <v>0</v>
      </c>
      <c r="BH239">
        <f t="shared" si="67"/>
        <v>7170079.31508434</v>
      </c>
      <c r="BI239">
        <f t="shared" si="59"/>
        <v>89625.9914385543</v>
      </c>
      <c r="BJ239">
        <f t="shared" si="60"/>
        <v>0.0125</v>
      </c>
    </row>
    <row r="240" spans="39:62">
      <c r="AM240">
        <v>66.12</v>
      </c>
      <c r="AN240">
        <f t="shared" si="61"/>
        <v>0</v>
      </c>
      <c r="AO240">
        <f t="shared" si="68"/>
        <v>0</v>
      </c>
      <c r="AP240">
        <f t="shared" si="69"/>
        <v>0</v>
      </c>
      <c r="AQ240">
        <f t="shared" si="73"/>
        <v>0</v>
      </c>
      <c r="AR240">
        <f t="shared" si="70"/>
        <v>7718359.29251081</v>
      </c>
      <c r="AS240">
        <f t="shared" si="62"/>
        <v>96479.4911563852</v>
      </c>
      <c r="AT240">
        <f t="shared" si="63"/>
        <v>0.0125</v>
      </c>
      <c r="AW240">
        <v>162.72</v>
      </c>
      <c r="AX240">
        <f t="shared" si="56"/>
        <v>0</v>
      </c>
      <c r="AY240">
        <f t="shared" si="64"/>
        <v>0</v>
      </c>
      <c r="AZ240">
        <f t="shared" si="71"/>
        <v>0</v>
      </c>
      <c r="BA240">
        <f t="shared" si="72"/>
        <v>0</v>
      </c>
      <c r="BB240">
        <f t="shared" si="65"/>
        <v>8867861.29797591</v>
      </c>
      <c r="BC240">
        <f t="shared" si="57"/>
        <v>110848.266224699</v>
      </c>
      <c r="BD240">
        <f t="shared" si="58"/>
        <v>0.0125</v>
      </c>
      <c r="BG240">
        <f t="shared" si="66"/>
        <v>0</v>
      </c>
      <c r="BH240">
        <f t="shared" si="67"/>
        <v>7170079.31508434</v>
      </c>
      <c r="BI240">
        <f t="shared" si="59"/>
        <v>89625.9914385543</v>
      </c>
      <c r="BJ240">
        <f t="shared" si="60"/>
        <v>0.0125</v>
      </c>
    </row>
    <row r="241" spans="39:62">
      <c r="AM241">
        <v>66.745</v>
      </c>
      <c r="AN241">
        <f t="shared" si="61"/>
        <v>0</v>
      </c>
      <c r="AO241">
        <f t="shared" si="68"/>
        <v>0</v>
      </c>
      <c r="AP241">
        <f t="shared" si="69"/>
        <v>0</v>
      </c>
      <c r="AQ241">
        <f t="shared" si="73"/>
        <v>0</v>
      </c>
      <c r="AR241">
        <f t="shared" si="70"/>
        <v>7718359.29251081</v>
      </c>
      <c r="AS241">
        <f t="shared" si="62"/>
        <v>96479.4911563852</v>
      </c>
      <c r="AT241">
        <f t="shared" si="63"/>
        <v>0.0125</v>
      </c>
      <c r="AW241">
        <v>163.8</v>
      </c>
      <c r="AX241">
        <f t="shared" si="56"/>
        <v>0</v>
      </c>
      <c r="AY241">
        <f t="shared" si="64"/>
        <v>0</v>
      </c>
      <c r="AZ241">
        <f t="shared" si="71"/>
        <v>0</v>
      </c>
      <c r="BA241">
        <f t="shared" si="72"/>
        <v>0</v>
      </c>
      <c r="BB241">
        <f t="shared" si="65"/>
        <v>8867861.29797591</v>
      </c>
      <c r="BC241">
        <f t="shared" si="57"/>
        <v>110848.266224699</v>
      </c>
      <c r="BD241">
        <f t="shared" si="58"/>
        <v>0.0125</v>
      </c>
      <c r="BG241">
        <f t="shared" si="66"/>
        <v>0</v>
      </c>
      <c r="BH241">
        <f t="shared" si="67"/>
        <v>7170079.31508434</v>
      </c>
      <c r="BI241">
        <f t="shared" si="59"/>
        <v>89625.9914385543</v>
      </c>
      <c r="BJ241">
        <f t="shared" si="60"/>
        <v>0.0125</v>
      </c>
    </row>
    <row r="242" spans="39:62">
      <c r="AM242">
        <v>66.205</v>
      </c>
      <c r="AN242">
        <f t="shared" si="61"/>
        <v>0</v>
      </c>
      <c r="AO242">
        <f t="shared" si="68"/>
        <v>0</v>
      </c>
      <c r="AP242">
        <f t="shared" si="69"/>
        <v>0</v>
      </c>
      <c r="AQ242">
        <f t="shared" si="73"/>
        <v>0</v>
      </c>
      <c r="AR242">
        <f t="shared" si="70"/>
        <v>7718359.29251081</v>
      </c>
      <c r="AS242">
        <f t="shared" si="62"/>
        <v>96479.4911563852</v>
      </c>
      <c r="AT242">
        <f t="shared" si="63"/>
        <v>0.0125</v>
      </c>
      <c r="AW242">
        <v>162.97</v>
      </c>
      <c r="AX242">
        <f t="shared" si="56"/>
        <v>0</v>
      </c>
      <c r="AY242">
        <f t="shared" si="64"/>
        <v>0</v>
      </c>
      <c r="AZ242">
        <f t="shared" si="71"/>
        <v>0</v>
      </c>
      <c r="BA242">
        <f t="shared" si="72"/>
        <v>0</v>
      </c>
      <c r="BB242">
        <f t="shared" si="65"/>
        <v>8867861.29797591</v>
      </c>
      <c r="BC242">
        <f t="shared" si="57"/>
        <v>110848.266224699</v>
      </c>
      <c r="BD242">
        <f t="shared" si="58"/>
        <v>0.0125</v>
      </c>
      <c r="BG242">
        <f t="shared" si="66"/>
        <v>0</v>
      </c>
      <c r="BH242">
        <f t="shared" si="67"/>
        <v>7170079.31508434</v>
      </c>
      <c r="BI242">
        <f t="shared" si="59"/>
        <v>89625.9914385543</v>
      </c>
      <c r="BJ242">
        <f t="shared" si="60"/>
        <v>0.0125</v>
      </c>
    </row>
    <row r="243" spans="39:62">
      <c r="AM243">
        <v>65.54</v>
      </c>
      <c r="AN243">
        <f t="shared" si="61"/>
        <v>0</v>
      </c>
      <c r="AO243">
        <f t="shared" si="68"/>
        <v>0</v>
      </c>
      <c r="AP243">
        <f t="shared" si="69"/>
        <v>0</v>
      </c>
      <c r="AQ243">
        <f t="shared" si="73"/>
        <v>0</v>
      </c>
      <c r="AR243">
        <f t="shared" si="70"/>
        <v>7718359.29251081</v>
      </c>
      <c r="AS243">
        <f t="shared" si="62"/>
        <v>96479.4911563852</v>
      </c>
      <c r="AT243">
        <f t="shared" si="63"/>
        <v>0.0125</v>
      </c>
      <c r="AW243">
        <v>163.16</v>
      </c>
      <c r="AX243">
        <f t="shared" si="56"/>
        <v>0</v>
      </c>
      <c r="AY243">
        <f t="shared" si="64"/>
        <v>0</v>
      </c>
      <c r="AZ243">
        <f t="shared" si="71"/>
        <v>0</v>
      </c>
      <c r="BA243">
        <f t="shared" si="72"/>
        <v>0</v>
      </c>
      <c r="BB243">
        <f t="shared" si="65"/>
        <v>8867861.29797591</v>
      </c>
      <c r="BC243">
        <f t="shared" si="57"/>
        <v>110848.266224699</v>
      </c>
      <c r="BD243">
        <f t="shared" si="58"/>
        <v>0.0125</v>
      </c>
      <c r="BG243">
        <f t="shared" si="66"/>
        <v>0</v>
      </c>
      <c r="BH243">
        <f t="shared" si="67"/>
        <v>7170079.31508434</v>
      </c>
      <c r="BI243">
        <f t="shared" si="59"/>
        <v>89625.9914385543</v>
      </c>
      <c r="BJ243">
        <f t="shared" si="60"/>
        <v>0.0125</v>
      </c>
    </row>
    <row r="244" spans="39:62">
      <c r="AM244">
        <v>65.565</v>
      </c>
      <c r="AN244">
        <f t="shared" si="61"/>
        <v>0</v>
      </c>
      <c r="AO244">
        <f t="shared" si="68"/>
        <v>0</v>
      </c>
      <c r="AP244">
        <f t="shared" si="69"/>
        <v>0</v>
      </c>
      <c r="AQ244">
        <f t="shared" si="73"/>
        <v>0</v>
      </c>
      <c r="AR244">
        <f t="shared" si="70"/>
        <v>7718359.29251081</v>
      </c>
      <c r="AS244">
        <f t="shared" si="62"/>
        <v>96479.4911563852</v>
      </c>
      <c r="AT244">
        <f t="shared" si="63"/>
        <v>0.0125</v>
      </c>
      <c r="AW244">
        <v>163.52</v>
      </c>
      <c r="AX244">
        <f t="shared" si="56"/>
        <v>0</v>
      </c>
      <c r="AY244">
        <f t="shared" si="64"/>
        <v>0</v>
      </c>
      <c r="AZ244">
        <f t="shared" si="71"/>
        <v>0</v>
      </c>
      <c r="BA244">
        <f t="shared" si="72"/>
        <v>0</v>
      </c>
      <c r="BB244">
        <f t="shared" si="65"/>
        <v>8867861.29797591</v>
      </c>
      <c r="BC244">
        <f t="shared" si="57"/>
        <v>110848.266224699</v>
      </c>
      <c r="BD244">
        <f t="shared" si="58"/>
        <v>0.0125</v>
      </c>
      <c r="BG244">
        <f t="shared" si="66"/>
        <v>0</v>
      </c>
      <c r="BH244">
        <f t="shared" si="67"/>
        <v>7170079.31508434</v>
      </c>
      <c r="BI244">
        <f t="shared" si="59"/>
        <v>89625.9914385543</v>
      </c>
      <c r="BJ244">
        <f t="shared" si="60"/>
        <v>0.0125</v>
      </c>
    </row>
    <row r="245" spans="39:62">
      <c r="AM245">
        <v>66.055</v>
      </c>
      <c r="AN245">
        <f t="shared" si="61"/>
        <v>0</v>
      </c>
      <c r="AO245">
        <f t="shared" si="68"/>
        <v>0</v>
      </c>
      <c r="AP245">
        <f t="shared" si="69"/>
        <v>0</v>
      </c>
      <c r="AQ245">
        <f t="shared" si="73"/>
        <v>0</v>
      </c>
      <c r="AR245">
        <f t="shared" si="70"/>
        <v>7718359.29251081</v>
      </c>
      <c r="AS245">
        <f t="shared" si="62"/>
        <v>96479.4911563852</v>
      </c>
      <c r="AT245">
        <f t="shared" si="63"/>
        <v>0.0125</v>
      </c>
      <c r="AW245">
        <v>163.65</v>
      </c>
      <c r="AX245">
        <f t="shared" si="56"/>
        <v>0</v>
      </c>
      <c r="AY245">
        <f t="shared" si="64"/>
        <v>0</v>
      </c>
      <c r="AZ245">
        <f t="shared" si="71"/>
        <v>0</v>
      </c>
      <c r="BA245">
        <f t="shared" si="72"/>
        <v>0</v>
      </c>
      <c r="BB245">
        <f t="shared" si="65"/>
        <v>8867861.29797591</v>
      </c>
      <c r="BC245">
        <f t="shared" si="57"/>
        <v>110848.266224699</v>
      </c>
      <c r="BD245">
        <f t="shared" si="58"/>
        <v>0.0125</v>
      </c>
      <c r="BG245">
        <f t="shared" si="66"/>
        <v>0</v>
      </c>
      <c r="BH245">
        <f t="shared" si="67"/>
        <v>7170079.31508434</v>
      </c>
      <c r="BI245">
        <f t="shared" si="59"/>
        <v>89625.9914385543</v>
      </c>
      <c r="BJ245">
        <f t="shared" si="60"/>
        <v>0.0125</v>
      </c>
    </row>
    <row r="246" spans="39:62">
      <c r="AM246">
        <v>65.82</v>
      </c>
      <c r="AN246">
        <f t="shared" si="61"/>
        <v>0</v>
      </c>
      <c r="AO246">
        <f t="shared" si="68"/>
        <v>0</v>
      </c>
      <c r="AP246">
        <f t="shared" si="69"/>
        <v>0</v>
      </c>
      <c r="AQ246">
        <f t="shared" si="73"/>
        <v>0</v>
      </c>
      <c r="AR246">
        <f t="shared" si="70"/>
        <v>7718359.29251081</v>
      </c>
      <c r="AS246">
        <f t="shared" si="62"/>
        <v>96479.4911563852</v>
      </c>
      <c r="AT246">
        <f t="shared" si="63"/>
        <v>0.0125</v>
      </c>
      <c r="AW246">
        <v>160.74</v>
      </c>
      <c r="AX246">
        <f t="shared" si="56"/>
        <v>0</v>
      </c>
      <c r="AY246">
        <f t="shared" si="64"/>
        <v>0</v>
      </c>
      <c r="AZ246">
        <f t="shared" si="71"/>
        <v>0</v>
      </c>
      <c r="BA246">
        <f t="shared" si="72"/>
        <v>0</v>
      </c>
      <c r="BB246">
        <f t="shared" si="65"/>
        <v>8867861.29797591</v>
      </c>
      <c r="BC246">
        <f t="shared" si="57"/>
        <v>110848.266224699</v>
      </c>
      <c r="BD246">
        <f t="shared" si="58"/>
        <v>0.0125</v>
      </c>
      <c r="BG246">
        <f t="shared" si="66"/>
        <v>0</v>
      </c>
      <c r="BH246">
        <f t="shared" si="67"/>
        <v>7170079.31508434</v>
      </c>
      <c r="BI246">
        <f t="shared" si="59"/>
        <v>89625.9914385543</v>
      </c>
      <c r="BJ246">
        <f t="shared" si="60"/>
        <v>0.0125</v>
      </c>
    </row>
    <row r="247" spans="39:62">
      <c r="AM247">
        <v>65.675</v>
      </c>
      <c r="AN247">
        <f t="shared" si="61"/>
        <v>0</v>
      </c>
      <c r="AO247">
        <f t="shared" si="68"/>
        <v>0</v>
      </c>
      <c r="AP247">
        <f t="shared" si="69"/>
        <v>0</v>
      </c>
      <c r="AQ247">
        <f t="shared" si="73"/>
        <v>0</v>
      </c>
      <c r="AR247">
        <f t="shared" si="70"/>
        <v>7718359.29251081</v>
      </c>
      <c r="AS247">
        <f t="shared" si="62"/>
        <v>96479.4911563852</v>
      </c>
      <c r="AT247">
        <f t="shared" si="63"/>
        <v>0.0125</v>
      </c>
      <c r="AW247">
        <v>163.64</v>
      </c>
      <c r="AX247">
        <f t="shared" si="56"/>
        <v>0</v>
      </c>
      <c r="AY247">
        <f t="shared" si="64"/>
        <v>0</v>
      </c>
      <c r="AZ247">
        <f t="shared" si="71"/>
        <v>0</v>
      </c>
      <c r="BA247">
        <f t="shared" si="72"/>
        <v>0</v>
      </c>
      <c r="BB247">
        <f t="shared" si="65"/>
        <v>8867861.29797591</v>
      </c>
      <c r="BC247">
        <f t="shared" si="57"/>
        <v>110848.266224699</v>
      </c>
      <c r="BD247">
        <f t="shared" si="58"/>
        <v>0.0125</v>
      </c>
      <c r="BG247">
        <f t="shared" si="66"/>
        <v>0</v>
      </c>
      <c r="BH247">
        <f t="shared" si="67"/>
        <v>7170079.31508434</v>
      </c>
      <c r="BI247">
        <f t="shared" si="59"/>
        <v>89625.9914385543</v>
      </c>
      <c r="BJ247">
        <f t="shared" si="60"/>
        <v>0.0125</v>
      </c>
    </row>
    <row r="248" spans="39:62">
      <c r="AM248">
        <v>65.745</v>
      </c>
      <c r="AN248">
        <f t="shared" si="61"/>
        <v>0</v>
      </c>
      <c r="AO248">
        <f t="shared" si="68"/>
        <v>0</v>
      </c>
      <c r="AP248">
        <f t="shared" si="69"/>
        <v>0</v>
      </c>
      <c r="AQ248">
        <f t="shared" si="73"/>
        <v>0</v>
      </c>
      <c r="AR248">
        <f t="shared" si="70"/>
        <v>7718359.29251081</v>
      </c>
      <c r="AS248">
        <f t="shared" si="62"/>
        <v>96479.4911563852</v>
      </c>
      <c r="AT248">
        <f t="shared" si="63"/>
        <v>0.0125</v>
      </c>
      <c r="AW248">
        <v>163.27</v>
      </c>
      <c r="AX248">
        <f t="shared" si="56"/>
        <v>0</v>
      </c>
      <c r="AY248">
        <f t="shared" si="64"/>
        <v>0</v>
      </c>
      <c r="AZ248">
        <f t="shared" si="71"/>
        <v>0</v>
      </c>
      <c r="BA248">
        <f t="shared" si="72"/>
        <v>0</v>
      </c>
      <c r="BB248">
        <f t="shared" si="65"/>
        <v>8867861.29797591</v>
      </c>
      <c r="BC248">
        <f t="shared" si="57"/>
        <v>110848.266224699</v>
      </c>
      <c r="BD248">
        <f t="shared" si="58"/>
        <v>0.0125</v>
      </c>
      <c r="BG248">
        <f t="shared" si="66"/>
        <v>0</v>
      </c>
      <c r="BH248">
        <f t="shared" si="67"/>
        <v>7170079.31508434</v>
      </c>
      <c r="BI248">
        <f t="shared" si="59"/>
        <v>89625.9914385543</v>
      </c>
      <c r="BJ248">
        <f t="shared" si="60"/>
        <v>0.0125</v>
      </c>
    </row>
    <row r="249" spans="39:62">
      <c r="AM249">
        <v>66.85</v>
      </c>
      <c r="AN249">
        <f t="shared" si="61"/>
        <v>0</v>
      </c>
      <c r="AO249">
        <f t="shared" si="68"/>
        <v>0</v>
      </c>
      <c r="AP249">
        <f t="shared" si="69"/>
        <v>0</v>
      </c>
      <c r="AQ249">
        <f t="shared" si="73"/>
        <v>0</v>
      </c>
      <c r="AR249">
        <f t="shared" si="70"/>
        <v>7718359.29251081</v>
      </c>
      <c r="AS249">
        <f t="shared" si="62"/>
        <v>96479.4911563852</v>
      </c>
      <c r="AT249">
        <f t="shared" si="63"/>
        <v>0.0125</v>
      </c>
      <c r="AW249">
        <v>163.27</v>
      </c>
      <c r="AX249">
        <f t="shared" si="56"/>
        <v>0</v>
      </c>
      <c r="AY249">
        <f t="shared" si="64"/>
        <v>0</v>
      </c>
      <c r="AZ249">
        <f t="shared" si="71"/>
        <v>0</v>
      </c>
      <c r="BA249">
        <f t="shared" si="72"/>
        <v>0</v>
      </c>
      <c r="BB249">
        <f t="shared" si="65"/>
        <v>8867861.29797591</v>
      </c>
      <c r="BC249">
        <f t="shared" si="57"/>
        <v>110848.266224699</v>
      </c>
      <c r="BD249">
        <f t="shared" si="58"/>
        <v>0.0125</v>
      </c>
      <c r="BG249">
        <f t="shared" si="66"/>
        <v>0</v>
      </c>
      <c r="BH249">
        <f t="shared" si="67"/>
        <v>7170079.31508434</v>
      </c>
      <c r="BI249">
        <f t="shared" si="59"/>
        <v>89625.9914385543</v>
      </c>
      <c r="BJ249">
        <f t="shared" si="60"/>
        <v>0.0125</v>
      </c>
    </row>
    <row r="250" spans="39:62">
      <c r="AM250">
        <v>67.16</v>
      </c>
      <c r="AN250">
        <f t="shared" si="61"/>
        <v>0</v>
      </c>
      <c r="AO250">
        <f t="shared" si="68"/>
        <v>0</v>
      </c>
      <c r="AP250">
        <f t="shared" si="69"/>
        <v>0</v>
      </c>
      <c r="AQ250">
        <f t="shared" si="73"/>
        <v>0</v>
      </c>
      <c r="AR250">
        <f t="shared" si="70"/>
        <v>7718359.29251081</v>
      </c>
      <c r="AS250">
        <f t="shared" si="62"/>
        <v>96479.4911563852</v>
      </c>
      <c r="AT250">
        <f t="shared" si="63"/>
        <v>0.0125</v>
      </c>
      <c r="AW250">
        <v>163.23</v>
      </c>
      <c r="AX250">
        <f t="shared" si="56"/>
        <v>0</v>
      </c>
      <c r="AY250">
        <f t="shared" si="64"/>
        <v>0</v>
      </c>
      <c r="AZ250">
        <f t="shared" si="71"/>
        <v>0</v>
      </c>
      <c r="BA250">
        <f t="shared" si="72"/>
        <v>0</v>
      </c>
      <c r="BB250">
        <f t="shared" si="65"/>
        <v>8867861.29797591</v>
      </c>
      <c r="BC250">
        <f t="shared" si="57"/>
        <v>110848.266224699</v>
      </c>
      <c r="BD250">
        <f t="shared" si="58"/>
        <v>0.0125</v>
      </c>
      <c r="BG250">
        <f t="shared" si="66"/>
        <v>0</v>
      </c>
      <c r="BH250">
        <f t="shared" si="67"/>
        <v>7170079.31508434</v>
      </c>
      <c r="BI250">
        <f t="shared" si="59"/>
        <v>89625.9914385543</v>
      </c>
      <c r="BJ250">
        <f t="shared" si="60"/>
        <v>0.0125</v>
      </c>
    </row>
    <row r="251" spans="39:62">
      <c r="AM251">
        <v>67.255</v>
      </c>
      <c r="AN251">
        <f t="shared" si="61"/>
        <v>0</v>
      </c>
      <c r="AO251">
        <f t="shared" si="68"/>
        <v>0</v>
      </c>
      <c r="AP251">
        <f t="shared" si="69"/>
        <v>0</v>
      </c>
      <c r="AQ251">
        <f t="shared" si="73"/>
        <v>0</v>
      </c>
      <c r="AR251">
        <f t="shared" si="70"/>
        <v>7718359.29251081</v>
      </c>
      <c r="AS251">
        <f t="shared" si="62"/>
        <v>96479.4911563852</v>
      </c>
      <c r="AT251">
        <f t="shared" si="63"/>
        <v>0.0125</v>
      </c>
      <c r="AW251">
        <v>163.47</v>
      </c>
      <c r="AX251">
        <f t="shared" si="56"/>
        <v>0</v>
      </c>
      <c r="AY251">
        <f t="shared" si="64"/>
        <v>0</v>
      </c>
      <c r="AZ251">
        <f t="shared" si="71"/>
        <v>0</v>
      </c>
      <c r="BA251">
        <f t="shared" si="72"/>
        <v>0</v>
      </c>
      <c r="BB251">
        <f t="shared" si="65"/>
        <v>8867861.29797591</v>
      </c>
      <c r="BC251">
        <f t="shared" si="57"/>
        <v>110848.266224699</v>
      </c>
      <c r="BD251">
        <f t="shared" si="58"/>
        <v>0.0125</v>
      </c>
      <c r="BG251">
        <f t="shared" si="66"/>
        <v>0</v>
      </c>
      <c r="BH251">
        <f t="shared" si="67"/>
        <v>7170079.31508434</v>
      </c>
      <c r="BI251">
        <f t="shared" si="59"/>
        <v>89625.9914385543</v>
      </c>
      <c r="BJ251">
        <f t="shared" si="60"/>
        <v>0.0125</v>
      </c>
    </row>
    <row r="252" spans="39:62">
      <c r="AM252">
        <v>67.205</v>
      </c>
      <c r="AN252">
        <f t="shared" si="61"/>
        <v>0</v>
      </c>
      <c r="AO252">
        <f t="shared" si="68"/>
        <v>0</v>
      </c>
      <c r="AP252">
        <f t="shared" si="69"/>
        <v>0</v>
      </c>
      <c r="AQ252">
        <f t="shared" si="73"/>
        <v>0</v>
      </c>
      <c r="AR252">
        <f t="shared" si="70"/>
        <v>7718359.29251081</v>
      </c>
      <c r="AS252">
        <f t="shared" si="62"/>
        <v>96479.4911563852</v>
      </c>
      <c r="AT252">
        <f t="shared" si="63"/>
        <v>0.0125</v>
      </c>
      <c r="AW252">
        <v>163.4</v>
      </c>
      <c r="AX252">
        <f t="shared" si="56"/>
        <v>0</v>
      </c>
      <c r="AY252">
        <f t="shared" si="64"/>
        <v>0</v>
      </c>
      <c r="AZ252">
        <f t="shared" si="71"/>
        <v>0</v>
      </c>
      <c r="BA252">
        <f t="shared" si="72"/>
        <v>0</v>
      </c>
      <c r="BB252">
        <f t="shared" si="65"/>
        <v>8867861.29797591</v>
      </c>
      <c r="BC252">
        <f t="shared" si="57"/>
        <v>110848.266224699</v>
      </c>
      <c r="BD252">
        <f t="shared" si="58"/>
        <v>0.0125</v>
      </c>
      <c r="BG252">
        <f t="shared" si="66"/>
        <v>0</v>
      </c>
      <c r="BH252">
        <f t="shared" si="67"/>
        <v>7170079.31508434</v>
      </c>
      <c r="BI252">
        <f t="shared" si="59"/>
        <v>89625.9914385543</v>
      </c>
      <c r="BJ252">
        <f t="shared" si="60"/>
        <v>0.0125</v>
      </c>
    </row>
    <row r="253" spans="39:62">
      <c r="AM253">
        <v>67.785</v>
      </c>
      <c r="AN253">
        <f t="shared" si="61"/>
        <v>0</v>
      </c>
      <c r="AO253">
        <f t="shared" si="68"/>
        <v>0</v>
      </c>
      <c r="AP253">
        <f t="shared" si="69"/>
        <v>0</v>
      </c>
      <c r="AQ253">
        <f t="shared" si="73"/>
        <v>0</v>
      </c>
      <c r="AR253">
        <f t="shared" si="70"/>
        <v>7718359.29251081</v>
      </c>
      <c r="AS253">
        <f t="shared" si="62"/>
        <v>96479.4911563852</v>
      </c>
      <c r="AT253">
        <f t="shared" si="63"/>
        <v>0.0125</v>
      </c>
      <c r="AW253">
        <v>162.38</v>
      </c>
      <c r="AX253">
        <f t="shared" si="56"/>
        <v>0</v>
      </c>
      <c r="AY253">
        <f t="shared" si="64"/>
        <v>0</v>
      </c>
      <c r="AZ253">
        <f t="shared" si="71"/>
        <v>0</v>
      </c>
      <c r="BA253">
        <f t="shared" si="72"/>
        <v>0</v>
      </c>
      <c r="BB253">
        <f t="shared" si="65"/>
        <v>8867861.29797591</v>
      </c>
      <c r="BC253">
        <f t="shared" si="57"/>
        <v>110848.266224699</v>
      </c>
      <c r="BD253">
        <f t="shared" si="58"/>
        <v>0.0125</v>
      </c>
      <c r="BG253">
        <f t="shared" si="66"/>
        <v>0</v>
      </c>
      <c r="BH253">
        <f t="shared" si="67"/>
        <v>7170079.31508434</v>
      </c>
      <c r="BI253">
        <f t="shared" si="59"/>
        <v>89625.9914385543</v>
      </c>
      <c r="BJ253">
        <f t="shared" si="60"/>
        <v>0.0125</v>
      </c>
    </row>
    <row r="254" spans="39:62">
      <c r="AM254">
        <v>67.655</v>
      </c>
      <c r="AN254">
        <f t="shared" si="61"/>
        <v>0</v>
      </c>
      <c r="AO254">
        <f t="shared" si="68"/>
        <v>0</v>
      </c>
      <c r="AP254">
        <f t="shared" si="69"/>
        <v>0</v>
      </c>
      <c r="AQ254">
        <f t="shared" si="73"/>
        <v>0</v>
      </c>
      <c r="AR254">
        <f t="shared" si="70"/>
        <v>7718359.29251081</v>
      </c>
      <c r="AS254">
        <f t="shared" si="62"/>
        <v>96479.4911563852</v>
      </c>
      <c r="AT254">
        <f t="shared" si="63"/>
        <v>0.0125</v>
      </c>
      <c r="AW254">
        <v>161.74</v>
      </c>
      <c r="AX254">
        <f t="shared" si="56"/>
        <v>0</v>
      </c>
      <c r="AY254">
        <f t="shared" si="64"/>
        <v>0</v>
      </c>
      <c r="AZ254">
        <f t="shared" si="71"/>
        <v>0</v>
      </c>
      <c r="BA254">
        <f t="shared" si="72"/>
        <v>0</v>
      </c>
      <c r="BB254">
        <f t="shared" si="65"/>
        <v>8867861.29797591</v>
      </c>
      <c r="BC254">
        <f t="shared" si="57"/>
        <v>110848.266224699</v>
      </c>
      <c r="BD254">
        <f t="shared" si="58"/>
        <v>0.0125</v>
      </c>
      <c r="BG254">
        <f t="shared" si="66"/>
        <v>0</v>
      </c>
      <c r="BH254">
        <f t="shared" si="67"/>
        <v>7170079.31508434</v>
      </c>
      <c r="BI254">
        <f t="shared" si="59"/>
        <v>89625.9914385543</v>
      </c>
      <c r="BJ254">
        <f t="shared" si="60"/>
        <v>0.0125</v>
      </c>
    </row>
    <row r="255" spans="39:62">
      <c r="AM255">
        <v>68.165</v>
      </c>
      <c r="AN255">
        <f t="shared" si="61"/>
        <v>0</v>
      </c>
      <c r="AO255">
        <f t="shared" si="68"/>
        <v>0</v>
      </c>
      <c r="AP255">
        <f t="shared" si="69"/>
        <v>0</v>
      </c>
      <c r="AQ255">
        <f t="shared" si="73"/>
        <v>0</v>
      </c>
      <c r="AR255">
        <f t="shared" si="70"/>
        <v>7718359.29251081</v>
      </c>
      <c r="AS255">
        <f t="shared" si="62"/>
        <v>96479.4911563852</v>
      </c>
      <c r="AT255">
        <f t="shared" si="63"/>
        <v>0.0125</v>
      </c>
      <c r="AW255">
        <v>161.71</v>
      </c>
      <c r="AX255">
        <f t="shared" si="56"/>
        <v>0</v>
      </c>
      <c r="AY255">
        <f t="shared" si="64"/>
        <v>0</v>
      </c>
      <c r="AZ255">
        <f t="shared" si="71"/>
        <v>0</v>
      </c>
      <c r="BA255">
        <f t="shared" si="72"/>
        <v>0</v>
      </c>
      <c r="BB255">
        <f t="shared" si="65"/>
        <v>8867861.29797591</v>
      </c>
      <c r="BC255">
        <f t="shared" si="57"/>
        <v>110848.266224699</v>
      </c>
      <c r="BD255">
        <f t="shared" si="58"/>
        <v>0.0125</v>
      </c>
      <c r="BG255">
        <f t="shared" si="66"/>
        <v>0</v>
      </c>
      <c r="BH255">
        <f t="shared" si="67"/>
        <v>7170079.31508434</v>
      </c>
      <c r="BI255">
        <f t="shared" si="59"/>
        <v>89625.9914385543</v>
      </c>
      <c r="BJ255">
        <f t="shared" si="60"/>
        <v>0.0125</v>
      </c>
    </row>
    <row r="256" spans="39:62">
      <c r="AM256">
        <v>68.165</v>
      </c>
      <c r="AN256">
        <f t="shared" si="61"/>
        <v>0</v>
      </c>
      <c r="AO256">
        <f t="shared" si="68"/>
        <v>0</v>
      </c>
      <c r="AP256">
        <f t="shared" si="69"/>
        <v>0</v>
      </c>
      <c r="AQ256">
        <f t="shared" si="73"/>
        <v>0</v>
      </c>
      <c r="AR256">
        <f t="shared" si="70"/>
        <v>7718359.29251081</v>
      </c>
      <c r="AS256">
        <f t="shared" si="62"/>
        <v>96479.4911563852</v>
      </c>
      <c r="AT256">
        <f t="shared" si="63"/>
        <v>0.0125</v>
      </c>
      <c r="AW256">
        <v>161.71</v>
      </c>
      <c r="AX256">
        <f t="shared" si="56"/>
        <v>0</v>
      </c>
      <c r="AY256">
        <f t="shared" si="64"/>
        <v>0</v>
      </c>
      <c r="AZ256">
        <f t="shared" si="71"/>
        <v>0</v>
      </c>
      <c r="BA256">
        <f t="shared" si="72"/>
        <v>0</v>
      </c>
      <c r="BB256">
        <f t="shared" si="65"/>
        <v>8867861.29797591</v>
      </c>
      <c r="BC256">
        <f t="shared" si="57"/>
        <v>110848.266224699</v>
      </c>
      <c r="BD256">
        <f t="shared" si="58"/>
        <v>0.0125</v>
      </c>
      <c r="BG256">
        <f t="shared" si="66"/>
        <v>0</v>
      </c>
      <c r="BH256">
        <f t="shared" si="67"/>
        <v>7170079.31508434</v>
      </c>
      <c r="BI256">
        <f t="shared" si="59"/>
        <v>89625.9914385543</v>
      </c>
      <c r="BJ256">
        <f t="shared" si="60"/>
        <v>0.0125</v>
      </c>
    </row>
    <row r="257" spans="39:62">
      <c r="AM257">
        <v>68.205</v>
      </c>
      <c r="AN257">
        <f t="shared" si="61"/>
        <v>0</v>
      </c>
      <c r="AO257">
        <f t="shared" si="68"/>
        <v>0</v>
      </c>
      <c r="AP257">
        <f t="shared" si="69"/>
        <v>0</v>
      </c>
      <c r="AQ257">
        <f t="shared" si="73"/>
        <v>0</v>
      </c>
      <c r="AR257">
        <f t="shared" si="70"/>
        <v>7718359.29251081</v>
      </c>
      <c r="AS257">
        <f t="shared" si="62"/>
        <v>96479.4911563852</v>
      </c>
      <c r="AT257">
        <f t="shared" si="63"/>
        <v>0.0125</v>
      </c>
      <c r="AW257">
        <v>161.71</v>
      </c>
      <c r="AX257">
        <f t="shared" si="56"/>
        <v>0</v>
      </c>
      <c r="AY257">
        <f t="shared" si="64"/>
        <v>0</v>
      </c>
      <c r="AZ257">
        <f t="shared" si="71"/>
        <v>0</v>
      </c>
      <c r="BA257">
        <f t="shared" si="72"/>
        <v>0</v>
      </c>
      <c r="BB257">
        <f t="shared" si="65"/>
        <v>8867861.29797591</v>
      </c>
      <c r="BC257">
        <f t="shared" si="57"/>
        <v>110848.266224699</v>
      </c>
      <c r="BD257">
        <f t="shared" si="58"/>
        <v>0.0125</v>
      </c>
      <c r="BG257">
        <f t="shared" si="66"/>
        <v>0</v>
      </c>
      <c r="BH257">
        <f t="shared" si="67"/>
        <v>7170079.31508434</v>
      </c>
      <c r="BI257">
        <f t="shared" si="59"/>
        <v>89625.9914385543</v>
      </c>
      <c r="BJ257">
        <f t="shared" si="60"/>
        <v>0.0125</v>
      </c>
    </row>
    <row r="258" spans="39:62">
      <c r="AM258">
        <v>68.415</v>
      </c>
      <c r="AN258">
        <f t="shared" si="61"/>
        <v>0</v>
      </c>
      <c r="AO258">
        <f t="shared" si="68"/>
        <v>0</v>
      </c>
      <c r="AP258">
        <f t="shared" si="69"/>
        <v>0</v>
      </c>
      <c r="AQ258">
        <f t="shared" si="73"/>
        <v>0</v>
      </c>
      <c r="AR258">
        <f t="shared" si="70"/>
        <v>7718359.29251081</v>
      </c>
      <c r="AS258">
        <f t="shared" si="62"/>
        <v>96479.4911563852</v>
      </c>
      <c r="AT258">
        <f t="shared" si="63"/>
        <v>0.0125</v>
      </c>
      <c r="AW258">
        <v>161.77</v>
      </c>
      <c r="AX258">
        <f t="shared" ref="AX258:AX321" si="74">IF(V258&gt;0,AW258*1.01,IF(V258&lt;0,AW258*0.99,0))</f>
        <v>0</v>
      </c>
      <c r="AY258">
        <f t="shared" si="64"/>
        <v>0</v>
      </c>
      <c r="AZ258">
        <f t="shared" si="71"/>
        <v>0</v>
      </c>
      <c r="BA258">
        <f t="shared" si="72"/>
        <v>0</v>
      </c>
      <c r="BB258">
        <f t="shared" si="65"/>
        <v>8867861.29797591</v>
      </c>
      <c r="BC258">
        <f t="shared" ref="BC258:BC321" si="75">BB258*0.2/16</f>
        <v>110848.266224699</v>
      </c>
      <c r="BD258">
        <f t="shared" ref="BD258:BD321" si="76">BC258/BB258</f>
        <v>0.0125</v>
      </c>
      <c r="BG258">
        <f t="shared" si="66"/>
        <v>0</v>
      </c>
      <c r="BH258">
        <f t="shared" si="67"/>
        <v>7170079.31508434</v>
      </c>
      <c r="BI258">
        <f t="shared" ref="BI258:BI321" si="77">BH258*0.2/16</f>
        <v>89625.9914385543</v>
      </c>
      <c r="BJ258">
        <f t="shared" ref="BJ258:BJ321" si="78">BI258/BH258</f>
        <v>0.0125</v>
      </c>
    </row>
    <row r="259" spans="39:62">
      <c r="AM259">
        <v>68.585</v>
      </c>
      <c r="AN259">
        <f t="shared" ref="AN259:AN322" si="79">IF(L259&gt;0,AM259*1.01,IF(L259&lt;0,AM259*0.99,0))</f>
        <v>0</v>
      </c>
      <c r="AO259">
        <f t="shared" si="68"/>
        <v>0</v>
      </c>
      <c r="AP259">
        <f t="shared" si="69"/>
        <v>0</v>
      </c>
      <c r="AQ259">
        <f t="shared" si="73"/>
        <v>0</v>
      </c>
      <c r="AR259">
        <f t="shared" si="70"/>
        <v>7718359.29251081</v>
      </c>
      <c r="AS259">
        <f t="shared" ref="AS259:AS322" si="80">AR259*0.2/16</f>
        <v>96479.4911563852</v>
      </c>
      <c r="AT259">
        <f t="shared" ref="AT259:AT322" si="81">AS259/AR259</f>
        <v>0.0125</v>
      </c>
      <c r="AW259">
        <v>162.29</v>
      </c>
      <c r="AX259">
        <f t="shared" si="74"/>
        <v>0</v>
      </c>
      <c r="AY259">
        <f t="shared" ref="AY259:AY322" si="82">IF(AX259&lt;&gt;0,(AW259-AX259)*$BE$2/$BF$2*AA259,0)</f>
        <v>0</v>
      </c>
      <c r="AZ259">
        <f t="shared" si="71"/>
        <v>0</v>
      </c>
      <c r="BA259">
        <f t="shared" si="72"/>
        <v>0</v>
      </c>
      <c r="BB259">
        <f t="shared" ref="BB259:BB322" si="83">BA259+BB258</f>
        <v>8867861.29797591</v>
      </c>
      <c r="BC259">
        <f t="shared" si="75"/>
        <v>110848.266224699</v>
      </c>
      <c r="BD259">
        <f t="shared" si="76"/>
        <v>0.0125</v>
      </c>
      <c r="BG259">
        <f t="shared" ref="BG259:BG322" si="84">AY259+AO259</f>
        <v>0</v>
      </c>
      <c r="BH259">
        <f t="shared" ref="BH259:BH322" si="85">BG259+BH258</f>
        <v>7170079.31508434</v>
      </c>
      <c r="BI259">
        <f t="shared" si="77"/>
        <v>89625.9914385543</v>
      </c>
      <c r="BJ259">
        <f t="shared" si="78"/>
        <v>0.0125</v>
      </c>
    </row>
    <row r="260" spans="39:62">
      <c r="AM260">
        <v>68.505</v>
      </c>
      <c r="AN260">
        <f t="shared" si="79"/>
        <v>0</v>
      </c>
      <c r="AO260">
        <f t="shared" ref="AO260:AO323" si="86">IF(AN260&lt;&gt;0,(AM260-AN260)*$AU$2/$AV$2*L260,0)</f>
        <v>0</v>
      </c>
      <c r="AP260">
        <f t="shared" ref="AP260:AP323" si="87">(AM260-AM259)*$AU$2/$AV$2*Z259</f>
        <v>0</v>
      </c>
      <c r="AQ260">
        <f t="shared" si="73"/>
        <v>0</v>
      </c>
      <c r="AR260">
        <f t="shared" ref="AR260:AR323" si="88">AQ260+AR259</f>
        <v>7718359.29251081</v>
      </c>
      <c r="AS260">
        <f t="shared" si="80"/>
        <v>96479.4911563852</v>
      </c>
      <c r="AT260">
        <f t="shared" si="81"/>
        <v>0.0125</v>
      </c>
      <c r="AW260">
        <v>161.79</v>
      </c>
      <c r="AX260">
        <f t="shared" si="74"/>
        <v>0</v>
      </c>
      <c r="AY260">
        <f t="shared" si="82"/>
        <v>0</v>
      </c>
      <c r="AZ260">
        <f t="shared" ref="AZ260:AZ323" si="89">(AW260-AW259)*$BE$2/$BF$2*AC259</f>
        <v>0</v>
      </c>
      <c r="BA260">
        <f t="shared" ref="BA260:BA323" si="90">AY260+AZ260</f>
        <v>0</v>
      </c>
      <c r="BB260">
        <f t="shared" si="83"/>
        <v>8867861.29797591</v>
      </c>
      <c r="BC260">
        <f t="shared" si="75"/>
        <v>110848.266224699</v>
      </c>
      <c r="BD260">
        <f t="shared" si="76"/>
        <v>0.0125</v>
      </c>
      <c r="BG260">
        <f t="shared" si="84"/>
        <v>0</v>
      </c>
      <c r="BH260">
        <f t="shared" si="85"/>
        <v>7170079.31508434</v>
      </c>
      <c r="BI260">
        <f t="shared" si="77"/>
        <v>89625.9914385543</v>
      </c>
      <c r="BJ260">
        <f t="shared" si="78"/>
        <v>0.0125</v>
      </c>
    </row>
    <row r="261" spans="39:62">
      <c r="AM261">
        <v>68.505</v>
      </c>
      <c r="AN261">
        <f t="shared" si="79"/>
        <v>0</v>
      </c>
      <c r="AO261">
        <f t="shared" si="86"/>
        <v>0</v>
      </c>
      <c r="AP261">
        <f t="shared" si="87"/>
        <v>0</v>
      </c>
      <c r="AQ261">
        <f t="shared" ref="AQ261:AQ324" si="91">AO261+AP261</f>
        <v>0</v>
      </c>
      <c r="AR261">
        <f t="shared" si="88"/>
        <v>7718359.29251081</v>
      </c>
      <c r="AS261">
        <f t="shared" si="80"/>
        <v>96479.4911563852</v>
      </c>
      <c r="AT261">
        <f t="shared" si="81"/>
        <v>0.0125</v>
      </c>
      <c r="AW261">
        <v>161.79</v>
      </c>
      <c r="AX261">
        <f t="shared" si="74"/>
        <v>0</v>
      </c>
      <c r="AY261">
        <f t="shared" si="82"/>
        <v>0</v>
      </c>
      <c r="AZ261">
        <f t="shared" si="89"/>
        <v>0</v>
      </c>
      <c r="BA261">
        <f t="shared" si="90"/>
        <v>0</v>
      </c>
      <c r="BB261">
        <f t="shared" si="83"/>
        <v>8867861.29797591</v>
      </c>
      <c r="BC261">
        <f t="shared" si="75"/>
        <v>110848.266224699</v>
      </c>
      <c r="BD261">
        <f t="shared" si="76"/>
        <v>0.0125</v>
      </c>
      <c r="BG261">
        <f t="shared" si="84"/>
        <v>0</v>
      </c>
      <c r="BH261">
        <f t="shared" si="85"/>
        <v>7170079.31508434</v>
      </c>
      <c r="BI261">
        <f t="shared" si="77"/>
        <v>89625.9914385543</v>
      </c>
      <c r="BJ261">
        <f t="shared" si="78"/>
        <v>0.0125</v>
      </c>
    </row>
    <row r="262" spans="39:62">
      <c r="AM262">
        <v>68.305</v>
      </c>
      <c r="AN262">
        <f t="shared" si="79"/>
        <v>0</v>
      </c>
      <c r="AO262">
        <f t="shared" si="86"/>
        <v>0</v>
      </c>
      <c r="AP262">
        <f t="shared" si="87"/>
        <v>0</v>
      </c>
      <c r="AQ262">
        <f t="shared" si="91"/>
        <v>0</v>
      </c>
      <c r="AR262">
        <f t="shared" si="88"/>
        <v>7718359.29251081</v>
      </c>
      <c r="AS262">
        <f t="shared" si="80"/>
        <v>96479.4911563852</v>
      </c>
      <c r="AT262">
        <f t="shared" si="81"/>
        <v>0.0125</v>
      </c>
      <c r="AW262">
        <v>161.68</v>
      </c>
      <c r="AX262">
        <f t="shared" si="74"/>
        <v>0</v>
      </c>
      <c r="AY262">
        <f t="shared" si="82"/>
        <v>0</v>
      </c>
      <c r="AZ262">
        <f t="shared" si="89"/>
        <v>0</v>
      </c>
      <c r="BA262">
        <f t="shared" si="90"/>
        <v>0</v>
      </c>
      <c r="BB262">
        <f t="shared" si="83"/>
        <v>8867861.29797591</v>
      </c>
      <c r="BC262">
        <f t="shared" si="75"/>
        <v>110848.266224699</v>
      </c>
      <c r="BD262">
        <f t="shared" si="76"/>
        <v>0.0125</v>
      </c>
      <c r="BG262">
        <f t="shared" si="84"/>
        <v>0</v>
      </c>
      <c r="BH262">
        <f t="shared" si="85"/>
        <v>7170079.31508434</v>
      </c>
      <c r="BI262">
        <f t="shared" si="77"/>
        <v>89625.9914385543</v>
      </c>
      <c r="BJ262">
        <f t="shared" si="78"/>
        <v>0.0125</v>
      </c>
    </row>
    <row r="263" spans="39:62">
      <c r="AM263">
        <v>67.775</v>
      </c>
      <c r="AN263">
        <f t="shared" si="79"/>
        <v>0</v>
      </c>
      <c r="AO263">
        <f t="shared" si="86"/>
        <v>0</v>
      </c>
      <c r="AP263">
        <f t="shared" si="87"/>
        <v>0</v>
      </c>
      <c r="AQ263">
        <f t="shared" si="91"/>
        <v>0</v>
      </c>
      <c r="AR263">
        <f t="shared" si="88"/>
        <v>7718359.29251081</v>
      </c>
      <c r="AS263">
        <f t="shared" si="80"/>
        <v>96479.4911563852</v>
      </c>
      <c r="AT263">
        <f t="shared" si="81"/>
        <v>0.0125</v>
      </c>
      <c r="AW263">
        <v>161.28</v>
      </c>
      <c r="AX263">
        <f t="shared" si="74"/>
        <v>0</v>
      </c>
      <c r="AY263">
        <f t="shared" si="82"/>
        <v>0</v>
      </c>
      <c r="AZ263">
        <f t="shared" si="89"/>
        <v>0</v>
      </c>
      <c r="BA263">
        <f t="shared" si="90"/>
        <v>0</v>
      </c>
      <c r="BB263">
        <f t="shared" si="83"/>
        <v>8867861.29797591</v>
      </c>
      <c r="BC263">
        <f t="shared" si="75"/>
        <v>110848.266224699</v>
      </c>
      <c r="BD263">
        <f t="shared" si="76"/>
        <v>0.0125</v>
      </c>
      <c r="BG263">
        <f t="shared" si="84"/>
        <v>0</v>
      </c>
      <c r="BH263">
        <f t="shared" si="85"/>
        <v>7170079.31508434</v>
      </c>
      <c r="BI263">
        <f t="shared" si="77"/>
        <v>89625.9914385543</v>
      </c>
      <c r="BJ263">
        <f t="shared" si="78"/>
        <v>0.0125</v>
      </c>
    </row>
    <row r="264" spans="39:62">
      <c r="AM264">
        <v>67.46</v>
      </c>
      <c r="AN264">
        <f t="shared" si="79"/>
        <v>0</v>
      </c>
      <c r="AO264">
        <f t="shared" si="86"/>
        <v>0</v>
      </c>
      <c r="AP264">
        <f t="shared" si="87"/>
        <v>0</v>
      </c>
      <c r="AQ264">
        <f t="shared" si="91"/>
        <v>0</v>
      </c>
      <c r="AR264">
        <f t="shared" si="88"/>
        <v>7718359.29251081</v>
      </c>
      <c r="AS264">
        <f t="shared" si="80"/>
        <v>96479.4911563852</v>
      </c>
      <c r="AT264">
        <f t="shared" si="81"/>
        <v>0.0125</v>
      </c>
      <c r="AW264">
        <v>161.58</v>
      </c>
      <c r="AX264">
        <f t="shared" si="74"/>
        <v>0</v>
      </c>
      <c r="AY264">
        <f t="shared" si="82"/>
        <v>0</v>
      </c>
      <c r="AZ264">
        <f t="shared" si="89"/>
        <v>0</v>
      </c>
      <c r="BA264">
        <f t="shared" si="90"/>
        <v>0</v>
      </c>
      <c r="BB264">
        <f t="shared" si="83"/>
        <v>8867861.29797591</v>
      </c>
      <c r="BC264">
        <f t="shared" si="75"/>
        <v>110848.266224699</v>
      </c>
      <c r="BD264">
        <f t="shared" si="76"/>
        <v>0.0125</v>
      </c>
      <c r="BG264">
        <f t="shared" si="84"/>
        <v>0</v>
      </c>
      <c r="BH264">
        <f t="shared" si="85"/>
        <v>7170079.31508434</v>
      </c>
      <c r="BI264">
        <f t="shared" si="77"/>
        <v>89625.9914385543</v>
      </c>
      <c r="BJ264">
        <f t="shared" si="78"/>
        <v>0.0125</v>
      </c>
    </row>
    <row r="265" spans="39:62">
      <c r="AM265">
        <v>67.185</v>
      </c>
      <c r="AN265">
        <f t="shared" si="79"/>
        <v>0</v>
      </c>
      <c r="AO265">
        <f t="shared" si="86"/>
        <v>0</v>
      </c>
      <c r="AP265">
        <f t="shared" si="87"/>
        <v>0</v>
      </c>
      <c r="AQ265">
        <f t="shared" si="91"/>
        <v>0</v>
      </c>
      <c r="AR265">
        <f t="shared" si="88"/>
        <v>7718359.29251081</v>
      </c>
      <c r="AS265">
        <f t="shared" si="80"/>
        <v>96479.4911563852</v>
      </c>
      <c r="AT265">
        <f t="shared" si="81"/>
        <v>0.0125</v>
      </c>
      <c r="AW265">
        <v>161.59</v>
      </c>
      <c r="AX265">
        <f t="shared" si="74"/>
        <v>0</v>
      </c>
      <c r="AY265">
        <f t="shared" si="82"/>
        <v>0</v>
      </c>
      <c r="AZ265">
        <f t="shared" si="89"/>
        <v>0</v>
      </c>
      <c r="BA265">
        <f t="shared" si="90"/>
        <v>0</v>
      </c>
      <c r="BB265">
        <f t="shared" si="83"/>
        <v>8867861.29797591</v>
      </c>
      <c r="BC265">
        <f t="shared" si="75"/>
        <v>110848.266224699</v>
      </c>
      <c r="BD265">
        <f t="shared" si="76"/>
        <v>0.0125</v>
      </c>
      <c r="BG265">
        <f t="shared" si="84"/>
        <v>0</v>
      </c>
      <c r="BH265">
        <f t="shared" si="85"/>
        <v>7170079.31508434</v>
      </c>
      <c r="BI265">
        <f t="shared" si="77"/>
        <v>89625.9914385543</v>
      </c>
      <c r="BJ265">
        <f t="shared" si="78"/>
        <v>0.0125</v>
      </c>
    </row>
    <row r="266" spans="39:62">
      <c r="AM266">
        <v>67.285</v>
      </c>
      <c r="AN266">
        <f t="shared" si="79"/>
        <v>0</v>
      </c>
      <c r="AO266">
        <f t="shared" si="86"/>
        <v>0</v>
      </c>
      <c r="AP266">
        <f t="shared" si="87"/>
        <v>0</v>
      </c>
      <c r="AQ266">
        <f t="shared" si="91"/>
        <v>0</v>
      </c>
      <c r="AR266">
        <f t="shared" si="88"/>
        <v>7718359.29251081</v>
      </c>
      <c r="AS266">
        <f t="shared" si="80"/>
        <v>96479.4911563852</v>
      </c>
      <c r="AT266">
        <f t="shared" si="81"/>
        <v>0.0125</v>
      </c>
      <c r="AW266">
        <v>161.59</v>
      </c>
      <c r="AX266">
        <f t="shared" si="74"/>
        <v>0</v>
      </c>
      <c r="AY266">
        <f t="shared" si="82"/>
        <v>0</v>
      </c>
      <c r="AZ266">
        <f t="shared" si="89"/>
        <v>0</v>
      </c>
      <c r="BA266">
        <f t="shared" si="90"/>
        <v>0</v>
      </c>
      <c r="BB266">
        <f t="shared" si="83"/>
        <v>8867861.29797591</v>
      </c>
      <c r="BC266">
        <f t="shared" si="75"/>
        <v>110848.266224699</v>
      </c>
      <c r="BD266">
        <f t="shared" si="76"/>
        <v>0.0125</v>
      </c>
      <c r="BG266">
        <f t="shared" si="84"/>
        <v>0</v>
      </c>
      <c r="BH266">
        <f t="shared" si="85"/>
        <v>7170079.31508434</v>
      </c>
      <c r="BI266">
        <f t="shared" si="77"/>
        <v>89625.9914385543</v>
      </c>
      <c r="BJ266">
        <f t="shared" si="78"/>
        <v>0.0125</v>
      </c>
    </row>
    <row r="267" spans="39:62">
      <c r="AM267">
        <v>67.375</v>
      </c>
      <c r="AN267">
        <f t="shared" si="79"/>
        <v>0</v>
      </c>
      <c r="AO267">
        <f t="shared" si="86"/>
        <v>0</v>
      </c>
      <c r="AP267">
        <f t="shared" si="87"/>
        <v>0</v>
      </c>
      <c r="AQ267">
        <f t="shared" si="91"/>
        <v>0</v>
      </c>
      <c r="AR267">
        <f t="shared" si="88"/>
        <v>7718359.29251081</v>
      </c>
      <c r="AS267">
        <f t="shared" si="80"/>
        <v>96479.4911563852</v>
      </c>
      <c r="AT267">
        <f t="shared" si="81"/>
        <v>0.0125</v>
      </c>
      <c r="AW267">
        <v>161.8</v>
      </c>
      <c r="AX267">
        <f t="shared" si="74"/>
        <v>0</v>
      </c>
      <c r="AY267">
        <f t="shared" si="82"/>
        <v>0</v>
      </c>
      <c r="AZ267">
        <f t="shared" si="89"/>
        <v>0</v>
      </c>
      <c r="BA267">
        <f t="shared" si="90"/>
        <v>0</v>
      </c>
      <c r="BB267">
        <f t="shared" si="83"/>
        <v>8867861.29797591</v>
      </c>
      <c r="BC267">
        <f t="shared" si="75"/>
        <v>110848.266224699</v>
      </c>
      <c r="BD267">
        <f t="shared" si="76"/>
        <v>0.0125</v>
      </c>
      <c r="BG267">
        <f t="shared" si="84"/>
        <v>0</v>
      </c>
      <c r="BH267">
        <f t="shared" si="85"/>
        <v>7170079.31508434</v>
      </c>
      <c r="BI267">
        <f t="shared" si="77"/>
        <v>89625.9914385543</v>
      </c>
      <c r="BJ267">
        <f t="shared" si="78"/>
        <v>0.0125</v>
      </c>
    </row>
    <row r="268" spans="39:62">
      <c r="AM268">
        <v>66.98</v>
      </c>
      <c r="AN268">
        <f t="shared" si="79"/>
        <v>0</v>
      </c>
      <c r="AO268">
        <f t="shared" si="86"/>
        <v>0</v>
      </c>
      <c r="AP268">
        <f t="shared" si="87"/>
        <v>0</v>
      </c>
      <c r="AQ268">
        <f t="shared" si="91"/>
        <v>0</v>
      </c>
      <c r="AR268">
        <f t="shared" si="88"/>
        <v>7718359.29251081</v>
      </c>
      <c r="AS268">
        <f t="shared" si="80"/>
        <v>96479.4911563852</v>
      </c>
      <c r="AT268">
        <f t="shared" si="81"/>
        <v>0.0125</v>
      </c>
      <c r="AW268">
        <v>161.3</v>
      </c>
      <c r="AX268">
        <f t="shared" si="74"/>
        <v>0</v>
      </c>
      <c r="AY268">
        <f t="shared" si="82"/>
        <v>0</v>
      </c>
      <c r="AZ268">
        <f t="shared" si="89"/>
        <v>0</v>
      </c>
      <c r="BA268">
        <f t="shared" si="90"/>
        <v>0</v>
      </c>
      <c r="BB268">
        <f t="shared" si="83"/>
        <v>8867861.29797591</v>
      </c>
      <c r="BC268">
        <f t="shared" si="75"/>
        <v>110848.266224699</v>
      </c>
      <c r="BD268">
        <f t="shared" si="76"/>
        <v>0.0125</v>
      </c>
      <c r="BG268">
        <f t="shared" si="84"/>
        <v>0</v>
      </c>
      <c r="BH268">
        <f t="shared" si="85"/>
        <v>7170079.31508434</v>
      </c>
      <c r="BI268">
        <f t="shared" si="77"/>
        <v>89625.9914385543</v>
      </c>
      <c r="BJ268">
        <f t="shared" si="78"/>
        <v>0.0125</v>
      </c>
    </row>
    <row r="269" spans="39:62">
      <c r="AM269">
        <v>67.145</v>
      </c>
      <c r="AN269">
        <f t="shared" si="79"/>
        <v>0</v>
      </c>
      <c r="AO269">
        <f t="shared" si="86"/>
        <v>0</v>
      </c>
      <c r="AP269">
        <f t="shared" si="87"/>
        <v>0</v>
      </c>
      <c r="AQ269">
        <f t="shared" si="91"/>
        <v>0</v>
      </c>
      <c r="AR269">
        <f t="shared" si="88"/>
        <v>7718359.29251081</v>
      </c>
      <c r="AS269">
        <f t="shared" si="80"/>
        <v>96479.4911563852</v>
      </c>
      <c r="AT269">
        <f t="shared" si="81"/>
        <v>0.0125</v>
      </c>
      <c r="AW269">
        <v>161.07</v>
      </c>
      <c r="AX269">
        <f t="shared" si="74"/>
        <v>0</v>
      </c>
      <c r="AY269">
        <f t="shared" si="82"/>
        <v>0</v>
      </c>
      <c r="AZ269">
        <f t="shared" si="89"/>
        <v>0</v>
      </c>
      <c r="BA269">
        <f t="shared" si="90"/>
        <v>0</v>
      </c>
      <c r="BB269">
        <f t="shared" si="83"/>
        <v>8867861.29797591</v>
      </c>
      <c r="BC269">
        <f t="shared" si="75"/>
        <v>110848.266224699</v>
      </c>
      <c r="BD269">
        <f t="shared" si="76"/>
        <v>0.0125</v>
      </c>
      <c r="BG269">
        <f t="shared" si="84"/>
        <v>0</v>
      </c>
      <c r="BH269">
        <f t="shared" si="85"/>
        <v>7170079.31508434</v>
      </c>
      <c r="BI269">
        <f t="shared" si="77"/>
        <v>89625.9914385543</v>
      </c>
      <c r="BJ269">
        <f t="shared" si="78"/>
        <v>0.0125</v>
      </c>
    </row>
    <row r="270" spans="39:62">
      <c r="AM270">
        <v>67.005</v>
      </c>
      <c r="AN270">
        <f t="shared" si="79"/>
        <v>0</v>
      </c>
      <c r="AO270">
        <f t="shared" si="86"/>
        <v>0</v>
      </c>
      <c r="AP270">
        <f t="shared" si="87"/>
        <v>0</v>
      </c>
      <c r="AQ270">
        <f t="shared" si="91"/>
        <v>0</v>
      </c>
      <c r="AR270">
        <f t="shared" si="88"/>
        <v>7718359.29251081</v>
      </c>
      <c r="AS270">
        <f t="shared" si="80"/>
        <v>96479.4911563852</v>
      </c>
      <c r="AT270">
        <f t="shared" si="81"/>
        <v>0.0125</v>
      </c>
      <c r="AW270">
        <v>160.31</v>
      </c>
      <c r="AX270">
        <f t="shared" si="74"/>
        <v>0</v>
      </c>
      <c r="AY270">
        <f t="shared" si="82"/>
        <v>0</v>
      </c>
      <c r="AZ270">
        <f t="shared" si="89"/>
        <v>0</v>
      </c>
      <c r="BA270">
        <f t="shared" si="90"/>
        <v>0</v>
      </c>
      <c r="BB270">
        <f t="shared" si="83"/>
        <v>8867861.29797591</v>
      </c>
      <c r="BC270">
        <f t="shared" si="75"/>
        <v>110848.266224699</v>
      </c>
      <c r="BD270">
        <f t="shared" si="76"/>
        <v>0.0125</v>
      </c>
      <c r="BG270">
        <f t="shared" si="84"/>
        <v>0</v>
      </c>
      <c r="BH270">
        <f t="shared" si="85"/>
        <v>7170079.31508434</v>
      </c>
      <c r="BI270">
        <f t="shared" si="77"/>
        <v>89625.9914385543</v>
      </c>
      <c r="BJ270">
        <f t="shared" si="78"/>
        <v>0.0125</v>
      </c>
    </row>
    <row r="271" spans="39:62">
      <c r="AM271">
        <v>67.005</v>
      </c>
      <c r="AN271">
        <f t="shared" si="79"/>
        <v>0</v>
      </c>
      <c r="AO271">
        <f t="shared" si="86"/>
        <v>0</v>
      </c>
      <c r="AP271">
        <f t="shared" si="87"/>
        <v>0</v>
      </c>
      <c r="AQ271">
        <f t="shared" si="91"/>
        <v>0</v>
      </c>
      <c r="AR271">
        <f t="shared" si="88"/>
        <v>7718359.29251081</v>
      </c>
      <c r="AS271">
        <f t="shared" si="80"/>
        <v>96479.4911563852</v>
      </c>
      <c r="AT271">
        <f t="shared" si="81"/>
        <v>0.0125</v>
      </c>
      <c r="AW271">
        <v>160.38</v>
      </c>
      <c r="AX271">
        <f t="shared" si="74"/>
        <v>0</v>
      </c>
      <c r="AY271">
        <f t="shared" si="82"/>
        <v>0</v>
      </c>
      <c r="AZ271">
        <f t="shared" si="89"/>
        <v>0</v>
      </c>
      <c r="BA271">
        <f t="shared" si="90"/>
        <v>0</v>
      </c>
      <c r="BB271">
        <f t="shared" si="83"/>
        <v>8867861.29797591</v>
      </c>
      <c r="BC271">
        <f t="shared" si="75"/>
        <v>110848.266224699</v>
      </c>
      <c r="BD271">
        <f t="shared" si="76"/>
        <v>0.0125</v>
      </c>
      <c r="BG271">
        <f t="shared" si="84"/>
        <v>0</v>
      </c>
      <c r="BH271">
        <f t="shared" si="85"/>
        <v>7170079.31508434</v>
      </c>
      <c r="BI271">
        <f t="shared" si="77"/>
        <v>89625.9914385543</v>
      </c>
      <c r="BJ271">
        <f t="shared" si="78"/>
        <v>0.0125</v>
      </c>
    </row>
    <row r="272" spans="39:62">
      <c r="AM272">
        <v>67.005</v>
      </c>
      <c r="AN272">
        <f t="shared" si="79"/>
        <v>0</v>
      </c>
      <c r="AO272">
        <f t="shared" si="86"/>
        <v>0</v>
      </c>
      <c r="AP272">
        <f t="shared" si="87"/>
        <v>0</v>
      </c>
      <c r="AQ272">
        <f t="shared" si="91"/>
        <v>0</v>
      </c>
      <c r="AR272">
        <f t="shared" si="88"/>
        <v>7718359.29251081</v>
      </c>
      <c r="AS272">
        <f t="shared" si="80"/>
        <v>96479.4911563852</v>
      </c>
      <c r="AT272">
        <f t="shared" si="81"/>
        <v>0.0125</v>
      </c>
      <c r="AW272">
        <v>160.34</v>
      </c>
      <c r="AX272">
        <f t="shared" si="74"/>
        <v>0</v>
      </c>
      <c r="AY272">
        <f t="shared" si="82"/>
        <v>0</v>
      </c>
      <c r="AZ272">
        <f t="shared" si="89"/>
        <v>0</v>
      </c>
      <c r="BA272">
        <f t="shared" si="90"/>
        <v>0</v>
      </c>
      <c r="BB272">
        <f t="shared" si="83"/>
        <v>8867861.29797591</v>
      </c>
      <c r="BC272">
        <f t="shared" si="75"/>
        <v>110848.266224699</v>
      </c>
      <c r="BD272">
        <f t="shared" si="76"/>
        <v>0.0125</v>
      </c>
      <c r="BG272">
        <f t="shared" si="84"/>
        <v>0</v>
      </c>
      <c r="BH272">
        <f t="shared" si="85"/>
        <v>7170079.31508434</v>
      </c>
      <c r="BI272">
        <f t="shared" si="77"/>
        <v>89625.9914385543</v>
      </c>
      <c r="BJ272">
        <f t="shared" si="78"/>
        <v>0.0125</v>
      </c>
    </row>
    <row r="273" spans="39:62">
      <c r="AM273">
        <v>65.975</v>
      </c>
      <c r="AN273">
        <f t="shared" si="79"/>
        <v>0</v>
      </c>
      <c r="AO273">
        <f t="shared" si="86"/>
        <v>0</v>
      </c>
      <c r="AP273">
        <f t="shared" si="87"/>
        <v>0</v>
      </c>
      <c r="AQ273">
        <f t="shared" si="91"/>
        <v>0</v>
      </c>
      <c r="AR273">
        <f t="shared" si="88"/>
        <v>7718359.29251081</v>
      </c>
      <c r="AS273">
        <f t="shared" si="80"/>
        <v>96479.4911563852</v>
      </c>
      <c r="AT273">
        <f t="shared" si="81"/>
        <v>0.0125</v>
      </c>
      <c r="AW273">
        <v>160.77</v>
      </c>
      <c r="AX273">
        <f t="shared" si="74"/>
        <v>0</v>
      </c>
      <c r="AY273">
        <f t="shared" si="82"/>
        <v>0</v>
      </c>
      <c r="AZ273">
        <f t="shared" si="89"/>
        <v>0</v>
      </c>
      <c r="BA273">
        <f t="shared" si="90"/>
        <v>0</v>
      </c>
      <c r="BB273">
        <f t="shared" si="83"/>
        <v>8867861.29797591</v>
      </c>
      <c r="BC273">
        <f t="shared" si="75"/>
        <v>110848.266224699</v>
      </c>
      <c r="BD273">
        <f t="shared" si="76"/>
        <v>0.0125</v>
      </c>
      <c r="BG273">
        <f t="shared" si="84"/>
        <v>0</v>
      </c>
      <c r="BH273">
        <f t="shared" si="85"/>
        <v>7170079.31508434</v>
      </c>
      <c r="BI273">
        <f t="shared" si="77"/>
        <v>89625.9914385543</v>
      </c>
      <c r="BJ273">
        <f t="shared" si="78"/>
        <v>0.0125</v>
      </c>
    </row>
    <row r="274" spans="39:62">
      <c r="AM274">
        <v>65.55</v>
      </c>
      <c r="AN274">
        <f t="shared" si="79"/>
        <v>0</v>
      </c>
      <c r="AO274">
        <f t="shared" si="86"/>
        <v>0</v>
      </c>
      <c r="AP274">
        <f t="shared" si="87"/>
        <v>0</v>
      </c>
      <c r="AQ274">
        <f t="shared" si="91"/>
        <v>0</v>
      </c>
      <c r="AR274">
        <f t="shared" si="88"/>
        <v>7718359.29251081</v>
      </c>
      <c r="AS274">
        <f t="shared" si="80"/>
        <v>96479.4911563852</v>
      </c>
      <c r="AT274">
        <f t="shared" si="81"/>
        <v>0.0125</v>
      </c>
      <c r="AW274">
        <v>160.82</v>
      </c>
      <c r="AX274">
        <f t="shared" si="74"/>
        <v>0</v>
      </c>
      <c r="AY274">
        <f t="shared" si="82"/>
        <v>0</v>
      </c>
      <c r="AZ274">
        <f t="shared" si="89"/>
        <v>0</v>
      </c>
      <c r="BA274">
        <f t="shared" si="90"/>
        <v>0</v>
      </c>
      <c r="BB274">
        <f t="shared" si="83"/>
        <v>8867861.29797591</v>
      </c>
      <c r="BC274">
        <f t="shared" si="75"/>
        <v>110848.266224699</v>
      </c>
      <c r="BD274">
        <f t="shared" si="76"/>
        <v>0.0125</v>
      </c>
      <c r="BG274">
        <f t="shared" si="84"/>
        <v>0</v>
      </c>
      <c r="BH274">
        <f t="shared" si="85"/>
        <v>7170079.31508434</v>
      </c>
      <c r="BI274">
        <f t="shared" si="77"/>
        <v>89625.9914385543</v>
      </c>
      <c r="BJ274">
        <f t="shared" si="78"/>
        <v>0.0125</v>
      </c>
    </row>
    <row r="275" spans="39:62">
      <c r="AM275">
        <v>65.715</v>
      </c>
      <c r="AN275">
        <f t="shared" si="79"/>
        <v>0</v>
      </c>
      <c r="AO275">
        <f t="shared" si="86"/>
        <v>0</v>
      </c>
      <c r="AP275">
        <f t="shared" si="87"/>
        <v>0</v>
      </c>
      <c r="AQ275">
        <f t="shared" si="91"/>
        <v>0</v>
      </c>
      <c r="AR275">
        <f t="shared" si="88"/>
        <v>7718359.29251081</v>
      </c>
      <c r="AS275">
        <f t="shared" si="80"/>
        <v>96479.4911563852</v>
      </c>
      <c r="AT275">
        <f t="shared" si="81"/>
        <v>0.0125</v>
      </c>
      <c r="AW275">
        <v>160.58</v>
      </c>
      <c r="AX275">
        <f t="shared" si="74"/>
        <v>0</v>
      </c>
      <c r="AY275">
        <f t="shared" si="82"/>
        <v>0</v>
      </c>
      <c r="AZ275">
        <f t="shared" si="89"/>
        <v>0</v>
      </c>
      <c r="BA275">
        <f t="shared" si="90"/>
        <v>0</v>
      </c>
      <c r="BB275">
        <f t="shared" si="83"/>
        <v>8867861.29797591</v>
      </c>
      <c r="BC275">
        <f t="shared" si="75"/>
        <v>110848.266224699</v>
      </c>
      <c r="BD275">
        <f t="shared" si="76"/>
        <v>0.0125</v>
      </c>
      <c r="BG275">
        <f t="shared" si="84"/>
        <v>0</v>
      </c>
      <c r="BH275">
        <f t="shared" si="85"/>
        <v>7170079.31508434</v>
      </c>
      <c r="BI275">
        <f t="shared" si="77"/>
        <v>89625.9914385543</v>
      </c>
      <c r="BJ275">
        <f t="shared" si="78"/>
        <v>0.0125</v>
      </c>
    </row>
    <row r="276" spans="39:62">
      <c r="AM276">
        <v>66.075</v>
      </c>
      <c r="AN276">
        <f t="shared" si="79"/>
        <v>0</v>
      </c>
      <c r="AO276">
        <f t="shared" si="86"/>
        <v>0</v>
      </c>
      <c r="AP276">
        <f t="shared" si="87"/>
        <v>0</v>
      </c>
      <c r="AQ276">
        <f t="shared" si="91"/>
        <v>0</v>
      </c>
      <c r="AR276">
        <f t="shared" si="88"/>
        <v>7718359.29251081</v>
      </c>
      <c r="AS276">
        <f t="shared" si="80"/>
        <v>96479.4911563852</v>
      </c>
      <c r="AT276">
        <f t="shared" si="81"/>
        <v>0.0125</v>
      </c>
      <c r="AW276">
        <v>160.66</v>
      </c>
      <c r="AX276">
        <f t="shared" si="74"/>
        <v>0</v>
      </c>
      <c r="AY276">
        <f t="shared" si="82"/>
        <v>0</v>
      </c>
      <c r="AZ276">
        <f t="shared" si="89"/>
        <v>0</v>
      </c>
      <c r="BA276">
        <f t="shared" si="90"/>
        <v>0</v>
      </c>
      <c r="BB276">
        <f t="shared" si="83"/>
        <v>8867861.29797591</v>
      </c>
      <c r="BC276">
        <f t="shared" si="75"/>
        <v>110848.266224699</v>
      </c>
      <c r="BD276">
        <f t="shared" si="76"/>
        <v>0.0125</v>
      </c>
      <c r="BG276">
        <f t="shared" si="84"/>
        <v>0</v>
      </c>
      <c r="BH276">
        <f t="shared" si="85"/>
        <v>7170079.31508434</v>
      </c>
      <c r="BI276">
        <f t="shared" si="77"/>
        <v>89625.9914385543</v>
      </c>
      <c r="BJ276">
        <f t="shared" si="78"/>
        <v>0.0125</v>
      </c>
    </row>
    <row r="277" spans="39:62">
      <c r="AM277">
        <v>65.835</v>
      </c>
      <c r="AN277">
        <f t="shared" si="79"/>
        <v>0</v>
      </c>
      <c r="AO277">
        <f t="shared" si="86"/>
        <v>0</v>
      </c>
      <c r="AP277">
        <f t="shared" si="87"/>
        <v>0</v>
      </c>
      <c r="AQ277">
        <f t="shared" si="91"/>
        <v>0</v>
      </c>
      <c r="AR277">
        <f t="shared" si="88"/>
        <v>7718359.29251081</v>
      </c>
      <c r="AS277">
        <f t="shared" si="80"/>
        <v>96479.4911563852</v>
      </c>
      <c r="AT277">
        <f t="shared" si="81"/>
        <v>0.0125</v>
      </c>
      <c r="AW277">
        <v>160.74</v>
      </c>
      <c r="AX277">
        <f t="shared" si="74"/>
        <v>0</v>
      </c>
      <c r="AY277">
        <f t="shared" si="82"/>
        <v>0</v>
      </c>
      <c r="AZ277">
        <f t="shared" si="89"/>
        <v>0</v>
      </c>
      <c r="BA277">
        <f t="shared" si="90"/>
        <v>0</v>
      </c>
      <c r="BB277">
        <f t="shared" si="83"/>
        <v>8867861.29797591</v>
      </c>
      <c r="BC277">
        <f t="shared" si="75"/>
        <v>110848.266224699</v>
      </c>
      <c r="BD277">
        <f t="shared" si="76"/>
        <v>0.0125</v>
      </c>
      <c r="BG277">
        <f t="shared" si="84"/>
        <v>0</v>
      </c>
      <c r="BH277">
        <f t="shared" si="85"/>
        <v>7170079.31508434</v>
      </c>
      <c r="BI277">
        <f t="shared" si="77"/>
        <v>89625.9914385543</v>
      </c>
      <c r="BJ277">
        <f t="shared" si="78"/>
        <v>0.0125</v>
      </c>
    </row>
    <row r="278" spans="39:62">
      <c r="AM278">
        <v>65.82</v>
      </c>
      <c r="AN278">
        <f t="shared" si="79"/>
        <v>0</v>
      </c>
      <c r="AO278">
        <f t="shared" si="86"/>
        <v>0</v>
      </c>
      <c r="AP278">
        <f t="shared" si="87"/>
        <v>0</v>
      </c>
      <c r="AQ278">
        <f t="shared" si="91"/>
        <v>0</v>
      </c>
      <c r="AR278">
        <f t="shared" si="88"/>
        <v>7718359.29251081</v>
      </c>
      <c r="AS278">
        <f t="shared" si="80"/>
        <v>96479.4911563852</v>
      </c>
      <c r="AT278">
        <f t="shared" si="81"/>
        <v>0.0125</v>
      </c>
      <c r="AW278">
        <v>160.8</v>
      </c>
      <c r="AX278">
        <f t="shared" si="74"/>
        <v>0</v>
      </c>
      <c r="AY278">
        <f t="shared" si="82"/>
        <v>0</v>
      </c>
      <c r="AZ278">
        <f t="shared" si="89"/>
        <v>0</v>
      </c>
      <c r="BA278">
        <f t="shared" si="90"/>
        <v>0</v>
      </c>
      <c r="BB278">
        <f t="shared" si="83"/>
        <v>8867861.29797591</v>
      </c>
      <c r="BC278">
        <f t="shared" si="75"/>
        <v>110848.266224699</v>
      </c>
      <c r="BD278">
        <f t="shared" si="76"/>
        <v>0.0125</v>
      </c>
      <c r="BG278">
        <f t="shared" si="84"/>
        <v>0</v>
      </c>
      <c r="BH278">
        <f t="shared" si="85"/>
        <v>7170079.31508434</v>
      </c>
      <c r="BI278">
        <f t="shared" si="77"/>
        <v>89625.9914385543</v>
      </c>
      <c r="BJ278">
        <f t="shared" si="78"/>
        <v>0.0125</v>
      </c>
    </row>
    <row r="279" spans="39:62">
      <c r="AM279">
        <v>65.905</v>
      </c>
      <c r="AN279">
        <f t="shared" si="79"/>
        <v>0</v>
      </c>
      <c r="AO279">
        <f t="shared" si="86"/>
        <v>0</v>
      </c>
      <c r="AP279">
        <f t="shared" si="87"/>
        <v>0</v>
      </c>
      <c r="AQ279">
        <f t="shared" si="91"/>
        <v>0</v>
      </c>
      <c r="AR279">
        <f t="shared" si="88"/>
        <v>7718359.29251081</v>
      </c>
      <c r="AS279">
        <f t="shared" si="80"/>
        <v>96479.4911563852</v>
      </c>
      <c r="AT279">
        <f t="shared" si="81"/>
        <v>0.0125</v>
      </c>
      <c r="AW279">
        <v>160.4</v>
      </c>
      <c r="AX279">
        <f t="shared" si="74"/>
        <v>0</v>
      </c>
      <c r="AY279">
        <f t="shared" si="82"/>
        <v>0</v>
      </c>
      <c r="AZ279">
        <f t="shared" si="89"/>
        <v>0</v>
      </c>
      <c r="BA279">
        <f t="shared" si="90"/>
        <v>0</v>
      </c>
      <c r="BB279">
        <f t="shared" si="83"/>
        <v>8867861.29797591</v>
      </c>
      <c r="BC279">
        <f t="shared" si="75"/>
        <v>110848.266224699</v>
      </c>
      <c r="BD279">
        <f t="shared" si="76"/>
        <v>0.0125</v>
      </c>
      <c r="BG279">
        <f t="shared" si="84"/>
        <v>0</v>
      </c>
      <c r="BH279">
        <f t="shared" si="85"/>
        <v>7170079.31508434</v>
      </c>
      <c r="BI279">
        <f t="shared" si="77"/>
        <v>89625.9914385543</v>
      </c>
      <c r="BJ279">
        <f t="shared" si="78"/>
        <v>0.0125</v>
      </c>
    </row>
    <row r="280" spans="39:62">
      <c r="AM280">
        <v>65.915</v>
      </c>
      <c r="AN280">
        <f t="shared" si="79"/>
        <v>0</v>
      </c>
      <c r="AO280">
        <f t="shared" si="86"/>
        <v>0</v>
      </c>
      <c r="AP280">
        <f t="shared" si="87"/>
        <v>0</v>
      </c>
      <c r="AQ280">
        <f t="shared" si="91"/>
        <v>0</v>
      </c>
      <c r="AR280">
        <f t="shared" si="88"/>
        <v>7718359.29251081</v>
      </c>
      <c r="AS280">
        <f t="shared" si="80"/>
        <v>96479.4911563852</v>
      </c>
      <c r="AT280">
        <f t="shared" si="81"/>
        <v>0.0125</v>
      </c>
      <c r="AW280">
        <v>160.05</v>
      </c>
      <c r="AX280">
        <f t="shared" si="74"/>
        <v>0</v>
      </c>
      <c r="AY280">
        <f t="shared" si="82"/>
        <v>0</v>
      </c>
      <c r="AZ280">
        <f t="shared" si="89"/>
        <v>0</v>
      </c>
      <c r="BA280">
        <f t="shared" si="90"/>
        <v>0</v>
      </c>
      <c r="BB280">
        <f t="shared" si="83"/>
        <v>8867861.29797591</v>
      </c>
      <c r="BC280">
        <f t="shared" si="75"/>
        <v>110848.266224699</v>
      </c>
      <c r="BD280">
        <f t="shared" si="76"/>
        <v>0.0125</v>
      </c>
      <c r="BG280">
        <f t="shared" si="84"/>
        <v>0</v>
      </c>
      <c r="BH280">
        <f t="shared" si="85"/>
        <v>7170079.31508434</v>
      </c>
      <c r="BI280">
        <f t="shared" si="77"/>
        <v>89625.9914385543</v>
      </c>
      <c r="BJ280">
        <f t="shared" si="78"/>
        <v>0.0125</v>
      </c>
    </row>
    <row r="281" spans="39:62">
      <c r="AM281">
        <v>65.92</v>
      </c>
      <c r="AN281">
        <f t="shared" si="79"/>
        <v>0</v>
      </c>
      <c r="AO281">
        <f t="shared" si="86"/>
        <v>0</v>
      </c>
      <c r="AP281">
        <f t="shared" si="87"/>
        <v>0</v>
      </c>
      <c r="AQ281">
        <f t="shared" si="91"/>
        <v>0</v>
      </c>
      <c r="AR281">
        <f t="shared" si="88"/>
        <v>7718359.29251081</v>
      </c>
      <c r="AS281">
        <f t="shared" si="80"/>
        <v>96479.4911563852</v>
      </c>
      <c r="AT281">
        <f t="shared" si="81"/>
        <v>0.0125</v>
      </c>
      <c r="AW281">
        <v>159.79</v>
      </c>
      <c r="AX281">
        <f t="shared" si="74"/>
        <v>0</v>
      </c>
      <c r="AY281">
        <f t="shared" si="82"/>
        <v>0</v>
      </c>
      <c r="AZ281">
        <f t="shared" si="89"/>
        <v>0</v>
      </c>
      <c r="BA281">
        <f t="shared" si="90"/>
        <v>0</v>
      </c>
      <c r="BB281">
        <f t="shared" si="83"/>
        <v>8867861.29797591</v>
      </c>
      <c r="BC281">
        <f t="shared" si="75"/>
        <v>110848.266224699</v>
      </c>
      <c r="BD281">
        <f t="shared" si="76"/>
        <v>0.0125</v>
      </c>
      <c r="BG281">
        <f t="shared" si="84"/>
        <v>0</v>
      </c>
      <c r="BH281">
        <f t="shared" si="85"/>
        <v>7170079.31508434</v>
      </c>
      <c r="BI281">
        <f t="shared" si="77"/>
        <v>89625.9914385543</v>
      </c>
      <c r="BJ281">
        <f t="shared" si="78"/>
        <v>0.0125</v>
      </c>
    </row>
    <row r="282" spans="39:62">
      <c r="AM282">
        <v>66.08</v>
      </c>
      <c r="AN282">
        <f t="shared" si="79"/>
        <v>0</v>
      </c>
      <c r="AO282">
        <f t="shared" si="86"/>
        <v>0</v>
      </c>
      <c r="AP282">
        <f t="shared" si="87"/>
        <v>0</v>
      </c>
      <c r="AQ282">
        <f t="shared" si="91"/>
        <v>0</v>
      </c>
      <c r="AR282">
        <f t="shared" si="88"/>
        <v>7718359.29251081</v>
      </c>
      <c r="AS282">
        <f t="shared" si="80"/>
        <v>96479.4911563852</v>
      </c>
      <c r="AT282">
        <f t="shared" si="81"/>
        <v>0.0125</v>
      </c>
      <c r="AW282">
        <v>158.71</v>
      </c>
      <c r="AX282">
        <f t="shared" si="74"/>
        <v>0</v>
      </c>
      <c r="AY282">
        <f t="shared" si="82"/>
        <v>0</v>
      </c>
      <c r="AZ282">
        <f t="shared" si="89"/>
        <v>0</v>
      </c>
      <c r="BA282">
        <f t="shared" si="90"/>
        <v>0</v>
      </c>
      <c r="BB282">
        <f t="shared" si="83"/>
        <v>8867861.29797591</v>
      </c>
      <c r="BC282">
        <f t="shared" si="75"/>
        <v>110848.266224699</v>
      </c>
      <c r="BD282">
        <f t="shared" si="76"/>
        <v>0.0125</v>
      </c>
      <c r="BG282">
        <f t="shared" si="84"/>
        <v>0</v>
      </c>
      <c r="BH282">
        <f t="shared" si="85"/>
        <v>7170079.31508434</v>
      </c>
      <c r="BI282">
        <f t="shared" si="77"/>
        <v>89625.9914385543</v>
      </c>
      <c r="BJ282">
        <f t="shared" si="78"/>
        <v>0.0125</v>
      </c>
    </row>
    <row r="283" spans="39:62">
      <c r="AM283">
        <v>66.145</v>
      </c>
      <c r="AN283">
        <f t="shared" si="79"/>
        <v>0</v>
      </c>
      <c r="AO283">
        <f t="shared" si="86"/>
        <v>0</v>
      </c>
      <c r="AP283">
        <f t="shared" si="87"/>
        <v>0</v>
      </c>
      <c r="AQ283">
        <f t="shared" si="91"/>
        <v>0</v>
      </c>
      <c r="AR283">
        <f t="shared" si="88"/>
        <v>7718359.29251081</v>
      </c>
      <c r="AS283">
        <f t="shared" si="80"/>
        <v>96479.4911563852</v>
      </c>
      <c r="AT283">
        <f t="shared" si="81"/>
        <v>0.0125</v>
      </c>
      <c r="AW283">
        <v>158.91</v>
      </c>
      <c r="AX283">
        <f t="shared" si="74"/>
        <v>0</v>
      </c>
      <c r="AY283">
        <f t="shared" si="82"/>
        <v>0</v>
      </c>
      <c r="AZ283">
        <f t="shared" si="89"/>
        <v>0</v>
      </c>
      <c r="BA283">
        <f t="shared" si="90"/>
        <v>0</v>
      </c>
      <c r="BB283">
        <f t="shared" si="83"/>
        <v>8867861.29797591</v>
      </c>
      <c r="BC283">
        <f t="shared" si="75"/>
        <v>110848.266224699</v>
      </c>
      <c r="BD283">
        <f t="shared" si="76"/>
        <v>0.0125</v>
      </c>
      <c r="BG283">
        <f t="shared" si="84"/>
        <v>0</v>
      </c>
      <c r="BH283">
        <f t="shared" si="85"/>
        <v>7170079.31508434</v>
      </c>
      <c r="BI283">
        <f t="shared" si="77"/>
        <v>89625.9914385543</v>
      </c>
      <c r="BJ283">
        <f t="shared" si="78"/>
        <v>0.0125</v>
      </c>
    </row>
    <row r="284" spans="39:62">
      <c r="AM284">
        <v>66.05</v>
      </c>
      <c r="AN284">
        <f t="shared" si="79"/>
        <v>0</v>
      </c>
      <c r="AO284">
        <f t="shared" si="86"/>
        <v>0</v>
      </c>
      <c r="AP284">
        <f t="shared" si="87"/>
        <v>0</v>
      </c>
      <c r="AQ284">
        <f t="shared" si="91"/>
        <v>0</v>
      </c>
      <c r="AR284">
        <f t="shared" si="88"/>
        <v>7718359.29251081</v>
      </c>
      <c r="AS284">
        <f t="shared" si="80"/>
        <v>96479.4911563852</v>
      </c>
      <c r="AT284">
        <f t="shared" si="81"/>
        <v>0.0125</v>
      </c>
      <c r="AW284">
        <v>158.82</v>
      </c>
      <c r="AX284">
        <f t="shared" si="74"/>
        <v>0</v>
      </c>
      <c r="AY284">
        <f t="shared" si="82"/>
        <v>0</v>
      </c>
      <c r="AZ284">
        <f t="shared" si="89"/>
        <v>0</v>
      </c>
      <c r="BA284">
        <f t="shared" si="90"/>
        <v>0</v>
      </c>
      <c r="BB284">
        <f t="shared" si="83"/>
        <v>8867861.29797591</v>
      </c>
      <c r="BC284">
        <f t="shared" si="75"/>
        <v>110848.266224699</v>
      </c>
      <c r="BD284">
        <f t="shared" si="76"/>
        <v>0.0125</v>
      </c>
      <c r="BG284">
        <f t="shared" si="84"/>
        <v>0</v>
      </c>
      <c r="BH284">
        <f t="shared" si="85"/>
        <v>7170079.31508434</v>
      </c>
      <c r="BI284">
        <f t="shared" si="77"/>
        <v>89625.9914385543</v>
      </c>
      <c r="BJ284">
        <f t="shared" si="78"/>
        <v>0.0125</v>
      </c>
    </row>
    <row r="285" spans="39:62">
      <c r="AM285">
        <v>65.815</v>
      </c>
      <c r="AN285">
        <f t="shared" si="79"/>
        <v>0</v>
      </c>
      <c r="AO285">
        <f t="shared" si="86"/>
        <v>0</v>
      </c>
      <c r="AP285">
        <f t="shared" si="87"/>
        <v>0</v>
      </c>
      <c r="AQ285">
        <f t="shared" si="91"/>
        <v>0</v>
      </c>
      <c r="AR285">
        <f t="shared" si="88"/>
        <v>7718359.29251081</v>
      </c>
      <c r="AS285">
        <f t="shared" si="80"/>
        <v>96479.4911563852</v>
      </c>
      <c r="AT285">
        <f t="shared" si="81"/>
        <v>0.0125</v>
      </c>
      <c r="AW285">
        <v>158.6</v>
      </c>
      <c r="AX285">
        <f t="shared" si="74"/>
        <v>0</v>
      </c>
      <c r="AY285">
        <f t="shared" si="82"/>
        <v>0</v>
      </c>
      <c r="AZ285">
        <f t="shared" si="89"/>
        <v>0</v>
      </c>
      <c r="BA285">
        <f t="shared" si="90"/>
        <v>0</v>
      </c>
      <c r="BB285">
        <f t="shared" si="83"/>
        <v>8867861.29797591</v>
      </c>
      <c r="BC285">
        <f t="shared" si="75"/>
        <v>110848.266224699</v>
      </c>
      <c r="BD285">
        <f t="shared" si="76"/>
        <v>0.0125</v>
      </c>
      <c r="BG285">
        <f t="shared" si="84"/>
        <v>0</v>
      </c>
      <c r="BH285">
        <f t="shared" si="85"/>
        <v>7170079.31508434</v>
      </c>
      <c r="BI285">
        <f t="shared" si="77"/>
        <v>89625.9914385543</v>
      </c>
      <c r="BJ285">
        <f t="shared" si="78"/>
        <v>0.0125</v>
      </c>
    </row>
    <row r="286" spans="39:62">
      <c r="AM286">
        <v>65.26</v>
      </c>
      <c r="AN286">
        <f t="shared" si="79"/>
        <v>0</v>
      </c>
      <c r="AO286">
        <f t="shared" si="86"/>
        <v>0</v>
      </c>
      <c r="AP286">
        <f t="shared" si="87"/>
        <v>0</v>
      </c>
      <c r="AQ286">
        <f t="shared" si="91"/>
        <v>0</v>
      </c>
      <c r="AR286">
        <f t="shared" si="88"/>
        <v>7718359.29251081</v>
      </c>
      <c r="AS286">
        <f t="shared" si="80"/>
        <v>96479.4911563852</v>
      </c>
      <c r="AT286">
        <f t="shared" si="81"/>
        <v>0.0125</v>
      </c>
      <c r="AW286">
        <v>157.87</v>
      </c>
      <c r="AX286">
        <f t="shared" si="74"/>
        <v>0</v>
      </c>
      <c r="AY286">
        <f t="shared" si="82"/>
        <v>0</v>
      </c>
      <c r="AZ286">
        <f t="shared" si="89"/>
        <v>0</v>
      </c>
      <c r="BA286">
        <f t="shared" si="90"/>
        <v>0</v>
      </c>
      <c r="BB286">
        <f t="shared" si="83"/>
        <v>8867861.29797591</v>
      </c>
      <c r="BC286">
        <f t="shared" si="75"/>
        <v>110848.266224699</v>
      </c>
      <c r="BD286">
        <f t="shared" si="76"/>
        <v>0.0125</v>
      </c>
      <c r="BG286">
        <f t="shared" si="84"/>
        <v>0</v>
      </c>
      <c r="BH286">
        <f t="shared" si="85"/>
        <v>7170079.31508434</v>
      </c>
      <c r="BI286">
        <f t="shared" si="77"/>
        <v>89625.9914385543</v>
      </c>
      <c r="BJ286">
        <f t="shared" si="78"/>
        <v>0.0125</v>
      </c>
    </row>
    <row r="287" spans="39:62">
      <c r="AM287">
        <v>64.905</v>
      </c>
      <c r="AN287">
        <f t="shared" si="79"/>
        <v>0</v>
      </c>
      <c r="AO287">
        <f t="shared" si="86"/>
        <v>0</v>
      </c>
      <c r="AP287">
        <f t="shared" si="87"/>
        <v>0</v>
      </c>
      <c r="AQ287">
        <f t="shared" si="91"/>
        <v>0</v>
      </c>
      <c r="AR287">
        <f t="shared" si="88"/>
        <v>7718359.29251081</v>
      </c>
      <c r="AS287">
        <f t="shared" si="80"/>
        <v>96479.4911563852</v>
      </c>
      <c r="AT287">
        <f t="shared" si="81"/>
        <v>0.0125</v>
      </c>
      <c r="AW287">
        <v>158.09</v>
      </c>
      <c r="AX287">
        <f t="shared" si="74"/>
        <v>0</v>
      </c>
      <c r="AY287">
        <f t="shared" si="82"/>
        <v>0</v>
      </c>
      <c r="AZ287">
        <f t="shared" si="89"/>
        <v>0</v>
      </c>
      <c r="BA287">
        <f t="shared" si="90"/>
        <v>0</v>
      </c>
      <c r="BB287">
        <f t="shared" si="83"/>
        <v>8867861.29797591</v>
      </c>
      <c r="BC287">
        <f t="shared" si="75"/>
        <v>110848.266224699</v>
      </c>
      <c r="BD287">
        <f t="shared" si="76"/>
        <v>0.0125</v>
      </c>
      <c r="BG287">
        <f t="shared" si="84"/>
        <v>0</v>
      </c>
      <c r="BH287">
        <f t="shared" si="85"/>
        <v>7170079.31508434</v>
      </c>
      <c r="BI287">
        <f t="shared" si="77"/>
        <v>89625.9914385543</v>
      </c>
      <c r="BJ287">
        <f t="shared" si="78"/>
        <v>0.0125</v>
      </c>
    </row>
    <row r="288" spans="39:62">
      <c r="AM288">
        <v>65.26</v>
      </c>
      <c r="AN288">
        <f t="shared" si="79"/>
        <v>0</v>
      </c>
      <c r="AO288">
        <f t="shared" si="86"/>
        <v>0</v>
      </c>
      <c r="AP288">
        <f t="shared" si="87"/>
        <v>0</v>
      </c>
      <c r="AQ288">
        <f t="shared" si="91"/>
        <v>0</v>
      </c>
      <c r="AR288">
        <f t="shared" si="88"/>
        <v>7718359.29251081</v>
      </c>
      <c r="AS288">
        <f t="shared" si="80"/>
        <v>96479.4911563852</v>
      </c>
      <c r="AT288">
        <f t="shared" si="81"/>
        <v>0.0125</v>
      </c>
      <c r="AW288">
        <v>158.86</v>
      </c>
      <c r="AX288">
        <f t="shared" si="74"/>
        <v>0</v>
      </c>
      <c r="AY288">
        <f t="shared" si="82"/>
        <v>0</v>
      </c>
      <c r="AZ288">
        <f t="shared" si="89"/>
        <v>0</v>
      </c>
      <c r="BA288">
        <f t="shared" si="90"/>
        <v>0</v>
      </c>
      <c r="BB288">
        <f t="shared" si="83"/>
        <v>8867861.29797591</v>
      </c>
      <c r="BC288">
        <f t="shared" si="75"/>
        <v>110848.266224699</v>
      </c>
      <c r="BD288">
        <f t="shared" si="76"/>
        <v>0.0125</v>
      </c>
      <c r="BG288">
        <f t="shared" si="84"/>
        <v>0</v>
      </c>
      <c r="BH288">
        <f t="shared" si="85"/>
        <v>7170079.31508434</v>
      </c>
      <c r="BI288">
        <f t="shared" si="77"/>
        <v>89625.9914385543</v>
      </c>
      <c r="BJ288">
        <f t="shared" si="78"/>
        <v>0.0125</v>
      </c>
    </row>
    <row r="289" spans="39:62">
      <c r="AM289">
        <v>65.265</v>
      </c>
      <c r="AN289">
        <f t="shared" si="79"/>
        <v>0</v>
      </c>
      <c r="AO289">
        <f t="shared" si="86"/>
        <v>0</v>
      </c>
      <c r="AP289">
        <f t="shared" si="87"/>
        <v>0</v>
      </c>
      <c r="AQ289">
        <f t="shared" si="91"/>
        <v>0</v>
      </c>
      <c r="AR289">
        <f t="shared" si="88"/>
        <v>7718359.29251081</v>
      </c>
      <c r="AS289">
        <f t="shared" si="80"/>
        <v>96479.4911563852</v>
      </c>
      <c r="AT289">
        <f t="shared" si="81"/>
        <v>0.0125</v>
      </c>
      <c r="AW289">
        <v>158.23</v>
      </c>
      <c r="AX289">
        <f t="shared" si="74"/>
        <v>0</v>
      </c>
      <c r="AY289">
        <f t="shared" si="82"/>
        <v>0</v>
      </c>
      <c r="AZ289">
        <f t="shared" si="89"/>
        <v>0</v>
      </c>
      <c r="BA289">
        <f t="shared" si="90"/>
        <v>0</v>
      </c>
      <c r="BB289">
        <f t="shared" si="83"/>
        <v>8867861.29797591</v>
      </c>
      <c r="BC289">
        <f t="shared" si="75"/>
        <v>110848.266224699</v>
      </c>
      <c r="BD289">
        <f t="shared" si="76"/>
        <v>0.0125</v>
      </c>
      <c r="BG289">
        <f t="shared" si="84"/>
        <v>0</v>
      </c>
      <c r="BH289">
        <f t="shared" si="85"/>
        <v>7170079.31508434</v>
      </c>
      <c r="BI289">
        <f t="shared" si="77"/>
        <v>89625.9914385543</v>
      </c>
      <c r="BJ289">
        <f t="shared" si="78"/>
        <v>0.0125</v>
      </c>
    </row>
    <row r="290" spans="39:62">
      <c r="AM290">
        <v>64.955</v>
      </c>
      <c r="AN290">
        <f t="shared" si="79"/>
        <v>0</v>
      </c>
      <c r="AO290">
        <f t="shared" si="86"/>
        <v>0</v>
      </c>
      <c r="AP290">
        <f t="shared" si="87"/>
        <v>0</v>
      </c>
      <c r="AQ290">
        <f t="shared" si="91"/>
        <v>0</v>
      </c>
      <c r="AR290">
        <f t="shared" si="88"/>
        <v>7718359.29251081</v>
      </c>
      <c r="AS290">
        <f t="shared" si="80"/>
        <v>96479.4911563852</v>
      </c>
      <c r="AT290">
        <f t="shared" si="81"/>
        <v>0.0125</v>
      </c>
      <c r="AW290">
        <v>157.74</v>
      </c>
      <c r="AX290">
        <f t="shared" si="74"/>
        <v>0</v>
      </c>
      <c r="AY290">
        <f t="shared" si="82"/>
        <v>0</v>
      </c>
      <c r="AZ290">
        <f t="shared" si="89"/>
        <v>0</v>
      </c>
      <c r="BA290">
        <f t="shared" si="90"/>
        <v>0</v>
      </c>
      <c r="BB290">
        <f t="shared" si="83"/>
        <v>8867861.29797591</v>
      </c>
      <c r="BC290">
        <f t="shared" si="75"/>
        <v>110848.266224699</v>
      </c>
      <c r="BD290">
        <f t="shared" si="76"/>
        <v>0.0125</v>
      </c>
      <c r="BG290">
        <f t="shared" si="84"/>
        <v>0</v>
      </c>
      <c r="BH290">
        <f t="shared" si="85"/>
        <v>7170079.31508434</v>
      </c>
      <c r="BI290">
        <f t="shared" si="77"/>
        <v>89625.9914385543</v>
      </c>
      <c r="BJ290">
        <f t="shared" si="78"/>
        <v>0.0125</v>
      </c>
    </row>
    <row r="291" spans="39:62">
      <c r="AM291">
        <v>65.275</v>
      </c>
      <c r="AN291">
        <f t="shared" si="79"/>
        <v>0</v>
      </c>
      <c r="AO291">
        <f t="shared" si="86"/>
        <v>0</v>
      </c>
      <c r="AP291">
        <f t="shared" si="87"/>
        <v>0</v>
      </c>
      <c r="AQ291">
        <f t="shared" si="91"/>
        <v>0</v>
      </c>
      <c r="AR291">
        <f t="shared" si="88"/>
        <v>7718359.29251081</v>
      </c>
      <c r="AS291">
        <f t="shared" si="80"/>
        <v>96479.4911563852</v>
      </c>
      <c r="AT291">
        <f t="shared" si="81"/>
        <v>0.0125</v>
      </c>
      <c r="AW291">
        <v>158.04</v>
      </c>
      <c r="AX291">
        <f t="shared" si="74"/>
        <v>0</v>
      </c>
      <c r="AY291">
        <f t="shared" si="82"/>
        <v>0</v>
      </c>
      <c r="AZ291">
        <f t="shared" si="89"/>
        <v>0</v>
      </c>
      <c r="BA291">
        <f t="shared" si="90"/>
        <v>0</v>
      </c>
      <c r="BB291">
        <f t="shared" si="83"/>
        <v>8867861.29797591</v>
      </c>
      <c r="BC291">
        <f t="shared" si="75"/>
        <v>110848.266224699</v>
      </c>
      <c r="BD291">
        <f t="shared" si="76"/>
        <v>0.0125</v>
      </c>
      <c r="BG291">
        <f t="shared" si="84"/>
        <v>0</v>
      </c>
      <c r="BH291">
        <f t="shared" si="85"/>
        <v>7170079.31508434</v>
      </c>
      <c r="BI291">
        <f t="shared" si="77"/>
        <v>89625.9914385543</v>
      </c>
      <c r="BJ291">
        <f t="shared" si="78"/>
        <v>0.0125</v>
      </c>
    </row>
    <row r="292" spans="39:62">
      <c r="AM292">
        <v>65.345</v>
      </c>
      <c r="AN292">
        <f t="shared" si="79"/>
        <v>0</v>
      </c>
      <c r="AO292">
        <f t="shared" si="86"/>
        <v>0</v>
      </c>
      <c r="AP292">
        <f t="shared" si="87"/>
        <v>0</v>
      </c>
      <c r="AQ292">
        <f t="shared" si="91"/>
        <v>0</v>
      </c>
      <c r="AR292">
        <f t="shared" si="88"/>
        <v>7718359.29251081</v>
      </c>
      <c r="AS292">
        <f t="shared" si="80"/>
        <v>96479.4911563852</v>
      </c>
      <c r="AT292">
        <f t="shared" si="81"/>
        <v>0.0125</v>
      </c>
      <c r="AW292">
        <v>157.97</v>
      </c>
      <c r="AX292">
        <f t="shared" si="74"/>
        <v>0</v>
      </c>
      <c r="AY292">
        <f t="shared" si="82"/>
        <v>0</v>
      </c>
      <c r="AZ292">
        <f t="shared" si="89"/>
        <v>0</v>
      </c>
      <c r="BA292">
        <f t="shared" si="90"/>
        <v>0</v>
      </c>
      <c r="BB292">
        <f t="shared" si="83"/>
        <v>8867861.29797591</v>
      </c>
      <c r="BC292">
        <f t="shared" si="75"/>
        <v>110848.266224699</v>
      </c>
      <c r="BD292">
        <f t="shared" si="76"/>
        <v>0.0125</v>
      </c>
      <c r="BG292">
        <f t="shared" si="84"/>
        <v>0</v>
      </c>
      <c r="BH292">
        <f t="shared" si="85"/>
        <v>7170079.31508434</v>
      </c>
      <c r="BI292">
        <f t="shared" si="77"/>
        <v>89625.9914385543</v>
      </c>
      <c r="BJ292">
        <f t="shared" si="78"/>
        <v>0.0125</v>
      </c>
    </row>
    <row r="293" spans="39:62">
      <c r="AM293">
        <v>64.495</v>
      </c>
      <c r="AN293">
        <f t="shared" si="79"/>
        <v>0</v>
      </c>
      <c r="AO293">
        <f t="shared" si="86"/>
        <v>0</v>
      </c>
      <c r="AP293">
        <f t="shared" si="87"/>
        <v>0</v>
      </c>
      <c r="AQ293">
        <f t="shared" si="91"/>
        <v>0</v>
      </c>
      <c r="AR293">
        <f t="shared" si="88"/>
        <v>7718359.29251081</v>
      </c>
      <c r="AS293">
        <f t="shared" si="80"/>
        <v>96479.4911563852</v>
      </c>
      <c r="AT293">
        <f t="shared" si="81"/>
        <v>0.0125</v>
      </c>
      <c r="AW293">
        <v>158.11</v>
      </c>
      <c r="AX293">
        <f t="shared" si="74"/>
        <v>0</v>
      </c>
      <c r="AY293">
        <f t="shared" si="82"/>
        <v>0</v>
      </c>
      <c r="AZ293">
        <f t="shared" si="89"/>
        <v>0</v>
      </c>
      <c r="BA293">
        <f t="shared" si="90"/>
        <v>0</v>
      </c>
      <c r="BB293">
        <f t="shared" si="83"/>
        <v>8867861.29797591</v>
      </c>
      <c r="BC293">
        <f t="shared" si="75"/>
        <v>110848.266224699</v>
      </c>
      <c r="BD293">
        <f t="shared" si="76"/>
        <v>0.0125</v>
      </c>
      <c r="BG293">
        <f t="shared" si="84"/>
        <v>0</v>
      </c>
      <c r="BH293">
        <f t="shared" si="85"/>
        <v>7170079.31508434</v>
      </c>
      <c r="BI293">
        <f t="shared" si="77"/>
        <v>89625.9914385543</v>
      </c>
      <c r="BJ293">
        <f t="shared" si="78"/>
        <v>0.0125</v>
      </c>
    </row>
    <row r="294" spans="39:62">
      <c r="AM294">
        <v>64.965</v>
      </c>
      <c r="AN294">
        <f t="shared" si="79"/>
        <v>0</v>
      </c>
      <c r="AO294">
        <f t="shared" si="86"/>
        <v>0</v>
      </c>
      <c r="AP294">
        <f t="shared" si="87"/>
        <v>0</v>
      </c>
      <c r="AQ294">
        <f t="shared" si="91"/>
        <v>0</v>
      </c>
      <c r="AR294">
        <f t="shared" si="88"/>
        <v>7718359.29251081</v>
      </c>
      <c r="AS294">
        <f t="shared" si="80"/>
        <v>96479.4911563852</v>
      </c>
      <c r="AT294">
        <f t="shared" si="81"/>
        <v>0.0125</v>
      </c>
      <c r="AW294">
        <v>157.98</v>
      </c>
      <c r="AX294">
        <f t="shared" si="74"/>
        <v>0</v>
      </c>
      <c r="AY294">
        <f t="shared" si="82"/>
        <v>0</v>
      </c>
      <c r="AZ294">
        <f t="shared" si="89"/>
        <v>0</v>
      </c>
      <c r="BA294">
        <f t="shared" si="90"/>
        <v>0</v>
      </c>
      <c r="BB294">
        <f t="shared" si="83"/>
        <v>8867861.29797591</v>
      </c>
      <c r="BC294">
        <f t="shared" si="75"/>
        <v>110848.266224699</v>
      </c>
      <c r="BD294">
        <f t="shared" si="76"/>
        <v>0.0125</v>
      </c>
      <c r="BG294">
        <f t="shared" si="84"/>
        <v>0</v>
      </c>
      <c r="BH294">
        <f t="shared" si="85"/>
        <v>7170079.31508434</v>
      </c>
      <c r="BI294">
        <f t="shared" si="77"/>
        <v>89625.9914385543</v>
      </c>
      <c r="BJ294">
        <f t="shared" si="78"/>
        <v>0.0125</v>
      </c>
    </row>
    <row r="295" spans="39:62">
      <c r="AM295">
        <v>65.28</v>
      </c>
      <c r="AN295">
        <f t="shared" si="79"/>
        <v>0</v>
      </c>
      <c r="AO295">
        <f t="shared" si="86"/>
        <v>0</v>
      </c>
      <c r="AP295">
        <f t="shared" si="87"/>
        <v>0</v>
      </c>
      <c r="AQ295">
        <f t="shared" si="91"/>
        <v>0</v>
      </c>
      <c r="AR295">
        <f t="shared" si="88"/>
        <v>7718359.29251081</v>
      </c>
      <c r="AS295">
        <f t="shared" si="80"/>
        <v>96479.4911563852</v>
      </c>
      <c r="AT295">
        <f t="shared" si="81"/>
        <v>0.0125</v>
      </c>
      <c r="AW295">
        <v>157.88</v>
      </c>
      <c r="AX295">
        <f t="shared" si="74"/>
        <v>0</v>
      </c>
      <c r="AY295">
        <f t="shared" si="82"/>
        <v>0</v>
      </c>
      <c r="AZ295">
        <f t="shared" si="89"/>
        <v>0</v>
      </c>
      <c r="BA295">
        <f t="shared" si="90"/>
        <v>0</v>
      </c>
      <c r="BB295">
        <f t="shared" si="83"/>
        <v>8867861.29797591</v>
      </c>
      <c r="BC295">
        <f t="shared" si="75"/>
        <v>110848.266224699</v>
      </c>
      <c r="BD295">
        <f t="shared" si="76"/>
        <v>0.0125</v>
      </c>
      <c r="BG295">
        <f t="shared" si="84"/>
        <v>0</v>
      </c>
      <c r="BH295">
        <f t="shared" si="85"/>
        <v>7170079.31508434</v>
      </c>
      <c r="BI295">
        <f t="shared" si="77"/>
        <v>89625.9914385543</v>
      </c>
      <c r="BJ295">
        <f t="shared" si="78"/>
        <v>0.0125</v>
      </c>
    </row>
    <row r="296" spans="39:62">
      <c r="AM296">
        <v>65.28</v>
      </c>
      <c r="AN296">
        <f t="shared" si="79"/>
        <v>0</v>
      </c>
      <c r="AO296">
        <f t="shared" si="86"/>
        <v>0</v>
      </c>
      <c r="AP296">
        <f t="shared" si="87"/>
        <v>0</v>
      </c>
      <c r="AQ296">
        <f t="shared" si="91"/>
        <v>0</v>
      </c>
      <c r="AR296">
        <f t="shared" si="88"/>
        <v>7718359.29251081</v>
      </c>
      <c r="AS296">
        <f t="shared" si="80"/>
        <v>96479.4911563852</v>
      </c>
      <c r="AT296">
        <f t="shared" si="81"/>
        <v>0.0125</v>
      </c>
      <c r="AW296">
        <v>158.61</v>
      </c>
      <c r="AX296">
        <f t="shared" si="74"/>
        <v>0</v>
      </c>
      <c r="AY296">
        <f t="shared" si="82"/>
        <v>0</v>
      </c>
      <c r="AZ296">
        <f t="shared" si="89"/>
        <v>0</v>
      </c>
      <c r="BA296">
        <f t="shared" si="90"/>
        <v>0</v>
      </c>
      <c r="BB296">
        <f t="shared" si="83"/>
        <v>8867861.29797591</v>
      </c>
      <c r="BC296">
        <f t="shared" si="75"/>
        <v>110848.266224699</v>
      </c>
      <c r="BD296">
        <f t="shared" si="76"/>
        <v>0.0125</v>
      </c>
      <c r="BG296">
        <f t="shared" si="84"/>
        <v>0</v>
      </c>
      <c r="BH296">
        <f t="shared" si="85"/>
        <v>7170079.31508434</v>
      </c>
      <c r="BI296">
        <f t="shared" si="77"/>
        <v>89625.9914385543</v>
      </c>
      <c r="BJ296">
        <f t="shared" si="78"/>
        <v>0.0125</v>
      </c>
    </row>
    <row r="297" spans="39:62">
      <c r="AM297">
        <v>65.39</v>
      </c>
      <c r="AN297">
        <f t="shared" si="79"/>
        <v>0</v>
      </c>
      <c r="AO297">
        <f t="shared" si="86"/>
        <v>0</v>
      </c>
      <c r="AP297">
        <f t="shared" si="87"/>
        <v>0</v>
      </c>
      <c r="AQ297">
        <f t="shared" si="91"/>
        <v>0</v>
      </c>
      <c r="AR297">
        <f t="shared" si="88"/>
        <v>7718359.29251081</v>
      </c>
      <c r="AS297">
        <f t="shared" si="80"/>
        <v>96479.4911563852</v>
      </c>
      <c r="AT297">
        <f t="shared" si="81"/>
        <v>0.0125</v>
      </c>
      <c r="AW297">
        <v>158.27</v>
      </c>
      <c r="AX297">
        <f t="shared" si="74"/>
        <v>0</v>
      </c>
      <c r="AY297">
        <f t="shared" si="82"/>
        <v>0</v>
      </c>
      <c r="AZ297">
        <f t="shared" si="89"/>
        <v>0</v>
      </c>
      <c r="BA297">
        <f t="shared" si="90"/>
        <v>0</v>
      </c>
      <c r="BB297">
        <f t="shared" si="83"/>
        <v>8867861.29797591</v>
      </c>
      <c r="BC297">
        <f t="shared" si="75"/>
        <v>110848.266224699</v>
      </c>
      <c r="BD297">
        <f t="shared" si="76"/>
        <v>0.0125</v>
      </c>
      <c r="BG297">
        <f t="shared" si="84"/>
        <v>0</v>
      </c>
      <c r="BH297">
        <f t="shared" si="85"/>
        <v>7170079.31508434</v>
      </c>
      <c r="BI297">
        <f t="shared" si="77"/>
        <v>89625.9914385543</v>
      </c>
      <c r="BJ297">
        <f t="shared" si="78"/>
        <v>0.0125</v>
      </c>
    </row>
    <row r="298" spans="39:62">
      <c r="AM298">
        <v>65.55</v>
      </c>
      <c r="AN298">
        <f t="shared" si="79"/>
        <v>0</v>
      </c>
      <c r="AO298">
        <f t="shared" si="86"/>
        <v>0</v>
      </c>
      <c r="AP298">
        <f t="shared" si="87"/>
        <v>0</v>
      </c>
      <c r="AQ298">
        <f t="shared" si="91"/>
        <v>0</v>
      </c>
      <c r="AR298">
        <f t="shared" si="88"/>
        <v>7718359.29251081</v>
      </c>
      <c r="AS298">
        <f t="shared" si="80"/>
        <v>96479.4911563852</v>
      </c>
      <c r="AT298">
        <f t="shared" si="81"/>
        <v>0.0125</v>
      </c>
      <c r="AW298">
        <v>158.39</v>
      </c>
      <c r="AX298">
        <f t="shared" si="74"/>
        <v>0</v>
      </c>
      <c r="AY298">
        <f t="shared" si="82"/>
        <v>0</v>
      </c>
      <c r="AZ298">
        <f t="shared" si="89"/>
        <v>0</v>
      </c>
      <c r="BA298">
        <f t="shared" si="90"/>
        <v>0</v>
      </c>
      <c r="BB298">
        <f t="shared" si="83"/>
        <v>8867861.29797591</v>
      </c>
      <c r="BC298">
        <f t="shared" si="75"/>
        <v>110848.266224699</v>
      </c>
      <c r="BD298">
        <f t="shared" si="76"/>
        <v>0.0125</v>
      </c>
      <c r="BG298">
        <f t="shared" si="84"/>
        <v>0</v>
      </c>
      <c r="BH298">
        <f t="shared" si="85"/>
        <v>7170079.31508434</v>
      </c>
      <c r="BI298">
        <f t="shared" si="77"/>
        <v>89625.9914385543</v>
      </c>
      <c r="BJ298">
        <f t="shared" si="78"/>
        <v>0.0125</v>
      </c>
    </row>
    <row r="299" spans="39:62">
      <c r="AM299">
        <v>65.515</v>
      </c>
      <c r="AN299">
        <f t="shared" si="79"/>
        <v>0</v>
      </c>
      <c r="AO299">
        <f t="shared" si="86"/>
        <v>0</v>
      </c>
      <c r="AP299">
        <f t="shared" si="87"/>
        <v>0</v>
      </c>
      <c r="AQ299">
        <f t="shared" si="91"/>
        <v>0</v>
      </c>
      <c r="AR299">
        <f t="shared" si="88"/>
        <v>7718359.29251081</v>
      </c>
      <c r="AS299">
        <f t="shared" si="80"/>
        <v>96479.4911563852</v>
      </c>
      <c r="AT299">
        <f t="shared" si="81"/>
        <v>0.0125</v>
      </c>
      <c r="AW299">
        <v>158.51</v>
      </c>
      <c r="AX299">
        <f t="shared" si="74"/>
        <v>0</v>
      </c>
      <c r="AY299">
        <f t="shared" si="82"/>
        <v>0</v>
      </c>
      <c r="AZ299">
        <f t="shared" si="89"/>
        <v>0</v>
      </c>
      <c r="BA299">
        <f t="shared" si="90"/>
        <v>0</v>
      </c>
      <c r="BB299">
        <f t="shared" si="83"/>
        <v>8867861.29797591</v>
      </c>
      <c r="BC299">
        <f t="shared" si="75"/>
        <v>110848.266224699</v>
      </c>
      <c r="BD299">
        <f t="shared" si="76"/>
        <v>0.0125</v>
      </c>
      <c r="BG299">
        <f t="shared" si="84"/>
        <v>0</v>
      </c>
      <c r="BH299">
        <f t="shared" si="85"/>
        <v>7170079.31508434</v>
      </c>
      <c r="BI299">
        <f t="shared" si="77"/>
        <v>89625.9914385543</v>
      </c>
      <c r="BJ299">
        <f t="shared" si="78"/>
        <v>0.0125</v>
      </c>
    </row>
    <row r="300" spans="39:62">
      <c r="AM300">
        <v>65.595</v>
      </c>
      <c r="AN300">
        <f t="shared" si="79"/>
        <v>0</v>
      </c>
      <c r="AO300">
        <f t="shared" si="86"/>
        <v>0</v>
      </c>
      <c r="AP300">
        <f t="shared" si="87"/>
        <v>0</v>
      </c>
      <c r="AQ300">
        <f t="shared" si="91"/>
        <v>0</v>
      </c>
      <c r="AR300">
        <f t="shared" si="88"/>
        <v>7718359.29251081</v>
      </c>
      <c r="AS300">
        <f t="shared" si="80"/>
        <v>96479.4911563852</v>
      </c>
      <c r="AT300">
        <f t="shared" si="81"/>
        <v>0.0125</v>
      </c>
      <c r="AW300">
        <v>158.76</v>
      </c>
      <c r="AX300">
        <f t="shared" si="74"/>
        <v>0</v>
      </c>
      <c r="AY300">
        <f t="shared" si="82"/>
        <v>0</v>
      </c>
      <c r="AZ300">
        <f t="shared" si="89"/>
        <v>0</v>
      </c>
      <c r="BA300">
        <f t="shared" si="90"/>
        <v>0</v>
      </c>
      <c r="BB300">
        <f t="shared" si="83"/>
        <v>8867861.29797591</v>
      </c>
      <c r="BC300">
        <f t="shared" si="75"/>
        <v>110848.266224699</v>
      </c>
      <c r="BD300">
        <f t="shared" si="76"/>
        <v>0.0125</v>
      </c>
      <c r="BG300">
        <f t="shared" si="84"/>
        <v>0</v>
      </c>
      <c r="BH300">
        <f t="shared" si="85"/>
        <v>7170079.31508434</v>
      </c>
      <c r="BI300">
        <f t="shared" si="77"/>
        <v>89625.9914385543</v>
      </c>
      <c r="BJ300">
        <f t="shared" si="78"/>
        <v>0.0125</v>
      </c>
    </row>
    <row r="301" spans="39:62">
      <c r="AM301">
        <v>65.695</v>
      </c>
      <c r="AN301">
        <f t="shared" si="79"/>
        <v>0</v>
      </c>
      <c r="AO301">
        <f t="shared" si="86"/>
        <v>0</v>
      </c>
      <c r="AP301">
        <f t="shared" si="87"/>
        <v>0</v>
      </c>
      <c r="AQ301">
        <f t="shared" si="91"/>
        <v>0</v>
      </c>
      <c r="AR301">
        <f t="shared" si="88"/>
        <v>7718359.29251081</v>
      </c>
      <c r="AS301">
        <f t="shared" si="80"/>
        <v>96479.4911563852</v>
      </c>
      <c r="AT301">
        <f t="shared" si="81"/>
        <v>0.0125</v>
      </c>
      <c r="AW301">
        <v>159.48</v>
      </c>
      <c r="AX301">
        <f t="shared" si="74"/>
        <v>0</v>
      </c>
      <c r="AY301">
        <f t="shared" si="82"/>
        <v>0</v>
      </c>
      <c r="AZ301">
        <f t="shared" si="89"/>
        <v>0</v>
      </c>
      <c r="BA301">
        <f t="shared" si="90"/>
        <v>0</v>
      </c>
      <c r="BB301">
        <f t="shared" si="83"/>
        <v>8867861.29797591</v>
      </c>
      <c r="BC301">
        <f t="shared" si="75"/>
        <v>110848.266224699</v>
      </c>
      <c r="BD301">
        <f t="shared" si="76"/>
        <v>0.0125</v>
      </c>
      <c r="BG301">
        <f t="shared" si="84"/>
        <v>0</v>
      </c>
      <c r="BH301">
        <f t="shared" si="85"/>
        <v>7170079.31508434</v>
      </c>
      <c r="BI301">
        <f t="shared" si="77"/>
        <v>89625.9914385543</v>
      </c>
      <c r="BJ301">
        <f t="shared" si="78"/>
        <v>0.0125</v>
      </c>
    </row>
    <row r="302" spans="39:62">
      <c r="AM302">
        <v>65.405</v>
      </c>
      <c r="AN302">
        <f t="shared" si="79"/>
        <v>0</v>
      </c>
      <c r="AO302">
        <f t="shared" si="86"/>
        <v>0</v>
      </c>
      <c r="AP302">
        <f t="shared" si="87"/>
        <v>0</v>
      </c>
      <c r="AQ302">
        <f t="shared" si="91"/>
        <v>0</v>
      </c>
      <c r="AR302">
        <f t="shared" si="88"/>
        <v>7718359.29251081</v>
      </c>
      <c r="AS302">
        <f t="shared" si="80"/>
        <v>96479.4911563852</v>
      </c>
      <c r="AT302">
        <f t="shared" si="81"/>
        <v>0.0125</v>
      </c>
      <c r="AW302">
        <v>159.56</v>
      </c>
      <c r="AX302">
        <f t="shared" si="74"/>
        <v>0</v>
      </c>
      <c r="AY302">
        <f t="shared" si="82"/>
        <v>0</v>
      </c>
      <c r="AZ302">
        <f t="shared" si="89"/>
        <v>0</v>
      </c>
      <c r="BA302">
        <f t="shared" si="90"/>
        <v>0</v>
      </c>
      <c r="BB302">
        <f t="shared" si="83"/>
        <v>8867861.29797591</v>
      </c>
      <c r="BC302">
        <f t="shared" si="75"/>
        <v>110848.266224699</v>
      </c>
      <c r="BD302">
        <f t="shared" si="76"/>
        <v>0.0125</v>
      </c>
      <c r="BG302">
        <f t="shared" si="84"/>
        <v>0</v>
      </c>
      <c r="BH302">
        <f t="shared" si="85"/>
        <v>7170079.31508434</v>
      </c>
      <c r="BI302">
        <f t="shared" si="77"/>
        <v>89625.9914385543</v>
      </c>
      <c r="BJ302">
        <f t="shared" si="78"/>
        <v>0.0125</v>
      </c>
    </row>
    <row r="303" spans="39:62">
      <c r="AM303">
        <v>65.465</v>
      </c>
      <c r="AN303">
        <f t="shared" si="79"/>
        <v>0</v>
      </c>
      <c r="AO303">
        <f t="shared" si="86"/>
        <v>0</v>
      </c>
      <c r="AP303">
        <f t="shared" si="87"/>
        <v>0</v>
      </c>
      <c r="AQ303">
        <f t="shared" si="91"/>
        <v>0</v>
      </c>
      <c r="AR303">
        <f t="shared" si="88"/>
        <v>7718359.29251081</v>
      </c>
      <c r="AS303">
        <f t="shared" si="80"/>
        <v>96479.4911563852</v>
      </c>
      <c r="AT303">
        <f t="shared" si="81"/>
        <v>0.0125</v>
      </c>
      <c r="AW303">
        <v>159.2</v>
      </c>
      <c r="AX303">
        <f t="shared" si="74"/>
        <v>0</v>
      </c>
      <c r="AY303">
        <f t="shared" si="82"/>
        <v>0</v>
      </c>
      <c r="AZ303">
        <f t="shared" si="89"/>
        <v>0</v>
      </c>
      <c r="BA303">
        <f t="shared" si="90"/>
        <v>0</v>
      </c>
      <c r="BB303">
        <f t="shared" si="83"/>
        <v>8867861.29797591</v>
      </c>
      <c r="BC303">
        <f t="shared" si="75"/>
        <v>110848.266224699</v>
      </c>
      <c r="BD303">
        <f t="shared" si="76"/>
        <v>0.0125</v>
      </c>
      <c r="BG303">
        <f t="shared" si="84"/>
        <v>0</v>
      </c>
      <c r="BH303">
        <f t="shared" si="85"/>
        <v>7170079.31508434</v>
      </c>
      <c r="BI303">
        <f t="shared" si="77"/>
        <v>89625.9914385543</v>
      </c>
      <c r="BJ303">
        <f t="shared" si="78"/>
        <v>0.0125</v>
      </c>
    </row>
    <row r="304" spans="39:62">
      <c r="AM304">
        <v>64.965</v>
      </c>
      <c r="AN304">
        <f t="shared" si="79"/>
        <v>0</v>
      </c>
      <c r="AO304">
        <f t="shared" si="86"/>
        <v>0</v>
      </c>
      <c r="AP304">
        <f t="shared" si="87"/>
        <v>0</v>
      </c>
      <c r="AQ304">
        <f t="shared" si="91"/>
        <v>0</v>
      </c>
      <c r="AR304">
        <f t="shared" si="88"/>
        <v>7718359.29251081</v>
      </c>
      <c r="AS304">
        <f t="shared" si="80"/>
        <v>96479.4911563852</v>
      </c>
      <c r="AT304">
        <f t="shared" si="81"/>
        <v>0.0125</v>
      </c>
      <c r="AW304">
        <v>159.44</v>
      </c>
      <c r="AX304">
        <f t="shared" si="74"/>
        <v>0</v>
      </c>
      <c r="AY304">
        <f t="shared" si="82"/>
        <v>0</v>
      </c>
      <c r="AZ304">
        <f t="shared" si="89"/>
        <v>0</v>
      </c>
      <c r="BA304">
        <f t="shared" si="90"/>
        <v>0</v>
      </c>
      <c r="BB304">
        <f t="shared" si="83"/>
        <v>8867861.29797591</v>
      </c>
      <c r="BC304">
        <f t="shared" si="75"/>
        <v>110848.266224699</v>
      </c>
      <c r="BD304">
        <f t="shared" si="76"/>
        <v>0.0125</v>
      </c>
      <c r="BG304">
        <f t="shared" si="84"/>
        <v>0</v>
      </c>
      <c r="BH304">
        <f t="shared" si="85"/>
        <v>7170079.31508434</v>
      </c>
      <c r="BI304">
        <f t="shared" si="77"/>
        <v>89625.9914385543</v>
      </c>
      <c r="BJ304">
        <f t="shared" si="78"/>
        <v>0.0125</v>
      </c>
    </row>
    <row r="305" spans="39:62">
      <c r="AM305">
        <v>64.97</v>
      </c>
      <c r="AN305">
        <f t="shared" si="79"/>
        <v>0</v>
      </c>
      <c r="AO305">
        <f t="shared" si="86"/>
        <v>0</v>
      </c>
      <c r="AP305">
        <f t="shared" si="87"/>
        <v>0</v>
      </c>
      <c r="AQ305">
        <f t="shared" si="91"/>
        <v>0</v>
      </c>
      <c r="AR305">
        <f t="shared" si="88"/>
        <v>7718359.29251081</v>
      </c>
      <c r="AS305">
        <f t="shared" si="80"/>
        <v>96479.4911563852</v>
      </c>
      <c r="AT305">
        <f t="shared" si="81"/>
        <v>0.0125</v>
      </c>
      <c r="AW305">
        <v>159.7</v>
      </c>
      <c r="AX305">
        <f t="shared" si="74"/>
        <v>0</v>
      </c>
      <c r="AY305">
        <f t="shared" si="82"/>
        <v>0</v>
      </c>
      <c r="AZ305">
        <f t="shared" si="89"/>
        <v>0</v>
      </c>
      <c r="BA305">
        <f t="shared" si="90"/>
        <v>0</v>
      </c>
      <c r="BB305">
        <f t="shared" si="83"/>
        <v>8867861.29797591</v>
      </c>
      <c r="BC305">
        <f t="shared" si="75"/>
        <v>110848.266224699</v>
      </c>
      <c r="BD305">
        <f t="shared" si="76"/>
        <v>0.0125</v>
      </c>
      <c r="BG305">
        <f t="shared" si="84"/>
        <v>0</v>
      </c>
      <c r="BH305">
        <f t="shared" si="85"/>
        <v>7170079.31508434</v>
      </c>
      <c r="BI305">
        <f t="shared" si="77"/>
        <v>89625.9914385543</v>
      </c>
      <c r="BJ305">
        <f t="shared" si="78"/>
        <v>0.0125</v>
      </c>
    </row>
    <row r="306" spans="39:62">
      <c r="AM306">
        <v>65.34</v>
      </c>
      <c r="AN306">
        <f t="shared" si="79"/>
        <v>0</v>
      </c>
      <c r="AO306">
        <f t="shared" si="86"/>
        <v>0</v>
      </c>
      <c r="AP306">
        <f t="shared" si="87"/>
        <v>0</v>
      </c>
      <c r="AQ306">
        <f t="shared" si="91"/>
        <v>0</v>
      </c>
      <c r="AR306">
        <f t="shared" si="88"/>
        <v>7718359.29251081</v>
      </c>
      <c r="AS306">
        <f t="shared" si="80"/>
        <v>96479.4911563852</v>
      </c>
      <c r="AT306">
        <f t="shared" si="81"/>
        <v>0.0125</v>
      </c>
      <c r="AW306">
        <v>159.77</v>
      </c>
      <c r="AX306">
        <f t="shared" si="74"/>
        <v>0</v>
      </c>
      <c r="AY306">
        <f t="shared" si="82"/>
        <v>0</v>
      </c>
      <c r="AZ306">
        <f t="shared" si="89"/>
        <v>0</v>
      </c>
      <c r="BA306">
        <f t="shared" si="90"/>
        <v>0</v>
      </c>
      <c r="BB306">
        <f t="shared" si="83"/>
        <v>8867861.29797591</v>
      </c>
      <c r="BC306">
        <f t="shared" si="75"/>
        <v>110848.266224699</v>
      </c>
      <c r="BD306">
        <f t="shared" si="76"/>
        <v>0.0125</v>
      </c>
      <c r="BG306">
        <f t="shared" si="84"/>
        <v>0</v>
      </c>
      <c r="BH306">
        <f t="shared" si="85"/>
        <v>7170079.31508434</v>
      </c>
      <c r="BI306">
        <f t="shared" si="77"/>
        <v>89625.9914385543</v>
      </c>
      <c r="BJ306">
        <f t="shared" si="78"/>
        <v>0.0125</v>
      </c>
    </row>
    <row r="307" spans="39:62">
      <c r="AM307">
        <v>65.125</v>
      </c>
      <c r="AN307">
        <f t="shared" si="79"/>
        <v>0</v>
      </c>
      <c r="AO307">
        <f t="shared" si="86"/>
        <v>0</v>
      </c>
      <c r="AP307">
        <f t="shared" si="87"/>
        <v>0</v>
      </c>
      <c r="AQ307">
        <f t="shared" si="91"/>
        <v>0</v>
      </c>
      <c r="AR307">
        <f t="shared" si="88"/>
        <v>7718359.29251081</v>
      </c>
      <c r="AS307">
        <f t="shared" si="80"/>
        <v>96479.4911563852</v>
      </c>
      <c r="AT307">
        <f t="shared" si="81"/>
        <v>0.0125</v>
      </c>
      <c r="AW307">
        <v>157.19</v>
      </c>
      <c r="AX307">
        <f t="shared" si="74"/>
        <v>0</v>
      </c>
      <c r="AY307">
        <f t="shared" si="82"/>
        <v>0</v>
      </c>
      <c r="AZ307">
        <f t="shared" si="89"/>
        <v>0</v>
      </c>
      <c r="BA307">
        <f t="shared" si="90"/>
        <v>0</v>
      </c>
      <c r="BB307">
        <f t="shared" si="83"/>
        <v>8867861.29797591</v>
      </c>
      <c r="BC307">
        <f t="shared" si="75"/>
        <v>110848.266224699</v>
      </c>
      <c r="BD307">
        <f t="shared" si="76"/>
        <v>0.0125</v>
      </c>
      <c r="BG307">
        <f t="shared" si="84"/>
        <v>0</v>
      </c>
      <c r="BH307">
        <f t="shared" si="85"/>
        <v>7170079.31508434</v>
      </c>
      <c r="BI307">
        <f t="shared" si="77"/>
        <v>89625.9914385543</v>
      </c>
      <c r="BJ307">
        <f t="shared" si="78"/>
        <v>0.0125</v>
      </c>
    </row>
    <row r="308" spans="39:62">
      <c r="AM308">
        <v>65.06</v>
      </c>
      <c r="AN308">
        <f t="shared" si="79"/>
        <v>0</v>
      </c>
      <c r="AO308">
        <f t="shared" si="86"/>
        <v>0</v>
      </c>
      <c r="AP308">
        <f t="shared" si="87"/>
        <v>0</v>
      </c>
      <c r="AQ308">
        <f t="shared" si="91"/>
        <v>0</v>
      </c>
      <c r="AR308">
        <f t="shared" si="88"/>
        <v>7718359.29251081</v>
      </c>
      <c r="AS308">
        <f t="shared" si="80"/>
        <v>96479.4911563852</v>
      </c>
      <c r="AT308">
        <f t="shared" si="81"/>
        <v>0.0125</v>
      </c>
      <c r="AW308">
        <v>156.57</v>
      </c>
      <c r="AX308">
        <f t="shared" si="74"/>
        <v>0</v>
      </c>
      <c r="AY308">
        <f t="shared" si="82"/>
        <v>0</v>
      </c>
      <c r="AZ308">
        <f t="shared" si="89"/>
        <v>0</v>
      </c>
      <c r="BA308">
        <f t="shared" si="90"/>
        <v>0</v>
      </c>
      <c r="BB308">
        <f t="shared" si="83"/>
        <v>8867861.29797591</v>
      </c>
      <c r="BC308">
        <f t="shared" si="75"/>
        <v>110848.266224699</v>
      </c>
      <c r="BD308">
        <f t="shared" si="76"/>
        <v>0.0125</v>
      </c>
      <c r="BG308">
        <f t="shared" si="84"/>
        <v>0</v>
      </c>
      <c r="BH308">
        <f t="shared" si="85"/>
        <v>7170079.31508434</v>
      </c>
      <c r="BI308">
        <f t="shared" si="77"/>
        <v>89625.9914385543</v>
      </c>
      <c r="BJ308">
        <f t="shared" si="78"/>
        <v>0.0125</v>
      </c>
    </row>
    <row r="309" spans="39:62">
      <c r="AM309">
        <v>65.69</v>
      </c>
      <c r="AN309">
        <f t="shared" si="79"/>
        <v>0</v>
      </c>
      <c r="AO309">
        <f t="shared" si="86"/>
        <v>0</v>
      </c>
      <c r="AP309">
        <f t="shared" si="87"/>
        <v>0</v>
      </c>
      <c r="AQ309">
        <f t="shared" si="91"/>
        <v>0</v>
      </c>
      <c r="AR309">
        <f t="shared" si="88"/>
        <v>7718359.29251081</v>
      </c>
      <c r="AS309">
        <f t="shared" si="80"/>
        <v>96479.4911563852</v>
      </c>
      <c r="AT309">
        <f t="shared" si="81"/>
        <v>0.0125</v>
      </c>
      <c r="AW309">
        <v>156.81</v>
      </c>
      <c r="AX309">
        <f t="shared" si="74"/>
        <v>0</v>
      </c>
      <c r="AY309">
        <f t="shared" si="82"/>
        <v>0</v>
      </c>
      <c r="AZ309">
        <f t="shared" si="89"/>
        <v>0</v>
      </c>
      <c r="BA309">
        <f t="shared" si="90"/>
        <v>0</v>
      </c>
      <c r="BB309">
        <f t="shared" si="83"/>
        <v>8867861.29797591</v>
      </c>
      <c r="BC309">
        <f t="shared" si="75"/>
        <v>110848.266224699</v>
      </c>
      <c r="BD309">
        <f t="shared" si="76"/>
        <v>0.0125</v>
      </c>
      <c r="BG309">
        <f t="shared" si="84"/>
        <v>0</v>
      </c>
      <c r="BH309">
        <f t="shared" si="85"/>
        <v>7170079.31508434</v>
      </c>
      <c r="BI309">
        <f t="shared" si="77"/>
        <v>89625.9914385543</v>
      </c>
      <c r="BJ309">
        <f t="shared" si="78"/>
        <v>0.0125</v>
      </c>
    </row>
    <row r="310" spans="39:62">
      <c r="AM310">
        <v>66.235</v>
      </c>
      <c r="AN310">
        <f t="shared" si="79"/>
        <v>0</v>
      </c>
      <c r="AO310">
        <f t="shared" si="86"/>
        <v>0</v>
      </c>
      <c r="AP310">
        <f t="shared" si="87"/>
        <v>0</v>
      </c>
      <c r="AQ310">
        <f t="shared" si="91"/>
        <v>0</v>
      </c>
      <c r="AR310">
        <f t="shared" si="88"/>
        <v>7718359.29251081</v>
      </c>
      <c r="AS310">
        <f t="shared" si="80"/>
        <v>96479.4911563852</v>
      </c>
      <c r="AT310">
        <f t="shared" si="81"/>
        <v>0.0125</v>
      </c>
      <c r="AW310">
        <v>157.21</v>
      </c>
      <c r="AX310">
        <f t="shared" si="74"/>
        <v>0</v>
      </c>
      <c r="AY310">
        <f t="shared" si="82"/>
        <v>0</v>
      </c>
      <c r="AZ310">
        <f t="shared" si="89"/>
        <v>0</v>
      </c>
      <c r="BA310">
        <f t="shared" si="90"/>
        <v>0</v>
      </c>
      <c r="BB310">
        <f t="shared" si="83"/>
        <v>8867861.29797591</v>
      </c>
      <c r="BC310">
        <f t="shared" si="75"/>
        <v>110848.266224699</v>
      </c>
      <c r="BD310">
        <f t="shared" si="76"/>
        <v>0.0125</v>
      </c>
      <c r="BG310">
        <f t="shared" si="84"/>
        <v>0</v>
      </c>
      <c r="BH310">
        <f t="shared" si="85"/>
        <v>7170079.31508434</v>
      </c>
      <c r="BI310">
        <f t="shared" si="77"/>
        <v>89625.9914385543</v>
      </c>
      <c r="BJ310">
        <f t="shared" si="78"/>
        <v>0.0125</v>
      </c>
    </row>
    <row r="311" spans="39:62">
      <c r="AM311">
        <v>66.27</v>
      </c>
      <c r="AN311">
        <f t="shared" si="79"/>
        <v>0</v>
      </c>
      <c r="AO311">
        <f t="shared" si="86"/>
        <v>0</v>
      </c>
      <c r="AP311">
        <f t="shared" si="87"/>
        <v>0</v>
      </c>
      <c r="AQ311">
        <f t="shared" si="91"/>
        <v>0</v>
      </c>
      <c r="AR311">
        <f t="shared" si="88"/>
        <v>7718359.29251081</v>
      </c>
      <c r="AS311">
        <f t="shared" si="80"/>
        <v>96479.4911563852</v>
      </c>
      <c r="AT311">
        <f t="shared" si="81"/>
        <v>0.0125</v>
      </c>
      <c r="AW311">
        <v>156.98</v>
      </c>
      <c r="AX311">
        <f t="shared" si="74"/>
        <v>0</v>
      </c>
      <c r="AY311">
        <f t="shared" si="82"/>
        <v>0</v>
      </c>
      <c r="AZ311">
        <f t="shared" si="89"/>
        <v>0</v>
      </c>
      <c r="BA311">
        <f t="shared" si="90"/>
        <v>0</v>
      </c>
      <c r="BB311">
        <f t="shared" si="83"/>
        <v>8867861.29797591</v>
      </c>
      <c r="BC311">
        <f t="shared" si="75"/>
        <v>110848.266224699</v>
      </c>
      <c r="BD311">
        <f t="shared" si="76"/>
        <v>0.0125</v>
      </c>
      <c r="BG311">
        <f t="shared" si="84"/>
        <v>0</v>
      </c>
      <c r="BH311">
        <f t="shared" si="85"/>
        <v>7170079.31508434</v>
      </c>
      <c r="BI311">
        <f t="shared" si="77"/>
        <v>89625.9914385543</v>
      </c>
      <c r="BJ311">
        <f t="shared" si="78"/>
        <v>0.0125</v>
      </c>
    </row>
    <row r="312" spans="39:62">
      <c r="AM312">
        <v>66.12</v>
      </c>
      <c r="AN312">
        <f t="shared" si="79"/>
        <v>0</v>
      </c>
      <c r="AO312">
        <f t="shared" si="86"/>
        <v>0</v>
      </c>
      <c r="AP312">
        <f t="shared" si="87"/>
        <v>0</v>
      </c>
      <c r="AQ312">
        <f t="shared" si="91"/>
        <v>0</v>
      </c>
      <c r="AR312">
        <f t="shared" si="88"/>
        <v>7718359.29251081</v>
      </c>
      <c r="AS312">
        <f t="shared" si="80"/>
        <v>96479.4911563852</v>
      </c>
      <c r="AT312">
        <f t="shared" si="81"/>
        <v>0.0125</v>
      </c>
      <c r="AW312">
        <v>157.27</v>
      </c>
      <c r="AX312">
        <f t="shared" si="74"/>
        <v>0</v>
      </c>
      <c r="AY312">
        <f t="shared" si="82"/>
        <v>0</v>
      </c>
      <c r="AZ312">
        <f t="shared" si="89"/>
        <v>0</v>
      </c>
      <c r="BA312">
        <f t="shared" si="90"/>
        <v>0</v>
      </c>
      <c r="BB312">
        <f t="shared" si="83"/>
        <v>8867861.29797591</v>
      </c>
      <c r="BC312">
        <f t="shared" si="75"/>
        <v>110848.266224699</v>
      </c>
      <c r="BD312">
        <f t="shared" si="76"/>
        <v>0.0125</v>
      </c>
      <c r="BG312">
        <f t="shared" si="84"/>
        <v>0</v>
      </c>
      <c r="BH312">
        <f t="shared" si="85"/>
        <v>7170079.31508434</v>
      </c>
      <c r="BI312">
        <f t="shared" si="77"/>
        <v>89625.9914385543</v>
      </c>
      <c r="BJ312">
        <f t="shared" si="78"/>
        <v>0.0125</v>
      </c>
    </row>
    <row r="313" spans="39:62">
      <c r="AM313">
        <v>66.05</v>
      </c>
      <c r="AN313">
        <f t="shared" si="79"/>
        <v>0</v>
      </c>
      <c r="AO313">
        <f t="shared" si="86"/>
        <v>0</v>
      </c>
      <c r="AP313">
        <f t="shared" si="87"/>
        <v>0</v>
      </c>
      <c r="AQ313">
        <f t="shared" si="91"/>
        <v>0</v>
      </c>
      <c r="AR313">
        <f t="shared" si="88"/>
        <v>7718359.29251081</v>
      </c>
      <c r="AS313">
        <f t="shared" si="80"/>
        <v>96479.4911563852</v>
      </c>
      <c r="AT313">
        <f t="shared" si="81"/>
        <v>0.0125</v>
      </c>
      <c r="AW313">
        <v>157.47</v>
      </c>
      <c r="AX313">
        <f t="shared" si="74"/>
        <v>0</v>
      </c>
      <c r="AY313">
        <f t="shared" si="82"/>
        <v>0</v>
      </c>
      <c r="AZ313">
        <f t="shared" si="89"/>
        <v>0</v>
      </c>
      <c r="BA313">
        <f t="shared" si="90"/>
        <v>0</v>
      </c>
      <c r="BB313">
        <f t="shared" si="83"/>
        <v>8867861.29797591</v>
      </c>
      <c r="BC313">
        <f t="shared" si="75"/>
        <v>110848.266224699</v>
      </c>
      <c r="BD313">
        <f t="shared" si="76"/>
        <v>0.0125</v>
      </c>
      <c r="BG313">
        <f t="shared" si="84"/>
        <v>0</v>
      </c>
      <c r="BH313">
        <f t="shared" si="85"/>
        <v>7170079.31508434</v>
      </c>
      <c r="BI313">
        <f t="shared" si="77"/>
        <v>89625.9914385543</v>
      </c>
      <c r="BJ313">
        <f t="shared" si="78"/>
        <v>0.0125</v>
      </c>
    </row>
    <row r="314" spans="39:62">
      <c r="AM314">
        <v>66.44</v>
      </c>
      <c r="AN314">
        <f t="shared" si="79"/>
        <v>0</v>
      </c>
      <c r="AO314">
        <f t="shared" si="86"/>
        <v>0</v>
      </c>
      <c r="AP314">
        <f t="shared" si="87"/>
        <v>0</v>
      </c>
      <c r="AQ314">
        <f t="shared" si="91"/>
        <v>0</v>
      </c>
      <c r="AR314">
        <f t="shared" si="88"/>
        <v>7718359.29251081</v>
      </c>
      <c r="AS314">
        <f t="shared" si="80"/>
        <v>96479.4911563852</v>
      </c>
      <c r="AT314">
        <f t="shared" si="81"/>
        <v>0.0125</v>
      </c>
      <c r="AW314">
        <v>157.94</v>
      </c>
      <c r="AX314">
        <f t="shared" si="74"/>
        <v>0</v>
      </c>
      <c r="AY314">
        <f t="shared" si="82"/>
        <v>0</v>
      </c>
      <c r="AZ314">
        <f t="shared" si="89"/>
        <v>0</v>
      </c>
      <c r="BA314">
        <f t="shared" si="90"/>
        <v>0</v>
      </c>
      <c r="BB314">
        <f t="shared" si="83"/>
        <v>8867861.29797591</v>
      </c>
      <c r="BC314">
        <f t="shared" si="75"/>
        <v>110848.266224699</v>
      </c>
      <c r="BD314">
        <f t="shared" si="76"/>
        <v>0.0125</v>
      </c>
      <c r="BG314">
        <f t="shared" si="84"/>
        <v>0</v>
      </c>
      <c r="BH314">
        <f t="shared" si="85"/>
        <v>7170079.31508434</v>
      </c>
      <c r="BI314">
        <f t="shared" si="77"/>
        <v>89625.9914385543</v>
      </c>
      <c r="BJ314">
        <f t="shared" si="78"/>
        <v>0.0125</v>
      </c>
    </row>
    <row r="315" spans="39:62">
      <c r="AM315">
        <v>65.995</v>
      </c>
      <c r="AN315">
        <f t="shared" si="79"/>
        <v>0</v>
      </c>
      <c r="AO315">
        <f t="shared" si="86"/>
        <v>0</v>
      </c>
      <c r="AP315">
        <f t="shared" si="87"/>
        <v>0</v>
      </c>
      <c r="AQ315">
        <f t="shared" si="91"/>
        <v>0</v>
      </c>
      <c r="AR315">
        <f t="shared" si="88"/>
        <v>7718359.29251081</v>
      </c>
      <c r="AS315">
        <f t="shared" si="80"/>
        <v>96479.4911563852</v>
      </c>
      <c r="AT315">
        <f t="shared" si="81"/>
        <v>0.0125</v>
      </c>
      <c r="AW315">
        <v>158.14</v>
      </c>
      <c r="AX315">
        <f t="shared" si="74"/>
        <v>0</v>
      </c>
      <c r="AY315">
        <f t="shared" si="82"/>
        <v>0</v>
      </c>
      <c r="AZ315">
        <f t="shared" si="89"/>
        <v>0</v>
      </c>
      <c r="BA315">
        <f t="shared" si="90"/>
        <v>0</v>
      </c>
      <c r="BB315">
        <f t="shared" si="83"/>
        <v>8867861.29797591</v>
      </c>
      <c r="BC315">
        <f t="shared" si="75"/>
        <v>110848.266224699</v>
      </c>
      <c r="BD315">
        <f t="shared" si="76"/>
        <v>0.0125</v>
      </c>
      <c r="BG315">
        <f t="shared" si="84"/>
        <v>0</v>
      </c>
      <c r="BH315">
        <f t="shared" si="85"/>
        <v>7170079.31508434</v>
      </c>
      <c r="BI315">
        <f t="shared" si="77"/>
        <v>89625.9914385543</v>
      </c>
      <c r="BJ315">
        <f t="shared" si="78"/>
        <v>0.0125</v>
      </c>
    </row>
    <row r="316" spans="39:62">
      <c r="AM316">
        <v>65.805</v>
      </c>
      <c r="AN316">
        <f t="shared" si="79"/>
        <v>0</v>
      </c>
      <c r="AO316">
        <f t="shared" si="86"/>
        <v>0</v>
      </c>
      <c r="AP316">
        <f t="shared" si="87"/>
        <v>0</v>
      </c>
      <c r="AQ316">
        <f t="shared" si="91"/>
        <v>0</v>
      </c>
      <c r="AR316">
        <f t="shared" si="88"/>
        <v>7718359.29251081</v>
      </c>
      <c r="AS316">
        <f t="shared" si="80"/>
        <v>96479.4911563852</v>
      </c>
      <c r="AT316">
        <f t="shared" si="81"/>
        <v>0.0125</v>
      </c>
      <c r="AW316">
        <v>158.19</v>
      </c>
      <c r="AX316">
        <f t="shared" si="74"/>
        <v>0</v>
      </c>
      <c r="AY316">
        <f t="shared" si="82"/>
        <v>0</v>
      </c>
      <c r="AZ316">
        <f t="shared" si="89"/>
        <v>0</v>
      </c>
      <c r="BA316">
        <f t="shared" si="90"/>
        <v>0</v>
      </c>
      <c r="BB316">
        <f t="shared" si="83"/>
        <v>8867861.29797591</v>
      </c>
      <c r="BC316">
        <f t="shared" si="75"/>
        <v>110848.266224699</v>
      </c>
      <c r="BD316">
        <f t="shared" si="76"/>
        <v>0.0125</v>
      </c>
      <c r="BG316">
        <f t="shared" si="84"/>
        <v>0</v>
      </c>
      <c r="BH316">
        <f t="shared" si="85"/>
        <v>7170079.31508434</v>
      </c>
      <c r="BI316">
        <f t="shared" si="77"/>
        <v>89625.9914385543</v>
      </c>
      <c r="BJ316">
        <f t="shared" si="78"/>
        <v>0.0125</v>
      </c>
    </row>
    <row r="317" spans="39:62">
      <c r="AM317">
        <v>65.73</v>
      </c>
      <c r="AN317">
        <f t="shared" si="79"/>
        <v>0</v>
      </c>
      <c r="AO317">
        <f t="shared" si="86"/>
        <v>0</v>
      </c>
      <c r="AP317">
        <f t="shared" si="87"/>
        <v>0</v>
      </c>
      <c r="AQ317">
        <f t="shared" si="91"/>
        <v>0</v>
      </c>
      <c r="AR317">
        <f t="shared" si="88"/>
        <v>7718359.29251081</v>
      </c>
      <c r="AS317">
        <f t="shared" si="80"/>
        <v>96479.4911563852</v>
      </c>
      <c r="AT317">
        <f t="shared" si="81"/>
        <v>0.0125</v>
      </c>
      <c r="AW317">
        <v>158.23</v>
      </c>
      <c r="AX317">
        <f t="shared" si="74"/>
        <v>0</v>
      </c>
      <c r="AY317">
        <f t="shared" si="82"/>
        <v>0</v>
      </c>
      <c r="AZ317">
        <f t="shared" si="89"/>
        <v>0</v>
      </c>
      <c r="BA317">
        <f t="shared" si="90"/>
        <v>0</v>
      </c>
      <c r="BB317">
        <f t="shared" si="83"/>
        <v>8867861.29797591</v>
      </c>
      <c r="BC317">
        <f t="shared" si="75"/>
        <v>110848.266224699</v>
      </c>
      <c r="BD317">
        <f t="shared" si="76"/>
        <v>0.0125</v>
      </c>
      <c r="BG317">
        <f t="shared" si="84"/>
        <v>0</v>
      </c>
      <c r="BH317">
        <f t="shared" si="85"/>
        <v>7170079.31508434</v>
      </c>
      <c r="BI317">
        <f t="shared" si="77"/>
        <v>89625.9914385543</v>
      </c>
      <c r="BJ317">
        <f t="shared" si="78"/>
        <v>0.0125</v>
      </c>
    </row>
    <row r="318" spans="39:62">
      <c r="AM318">
        <v>65.47</v>
      </c>
      <c r="AN318">
        <f t="shared" si="79"/>
        <v>0</v>
      </c>
      <c r="AO318">
        <f t="shared" si="86"/>
        <v>0</v>
      </c>
      <c r="AP318">
        <f t="shared" si="87"/>
        <v>0</v>
      </c>
      <c r="AQ318">
        <f t="shared" si="91"/>
        <v>0</v>
      </c>
      <c r="AR318">
        <f t="shared" si="88"/>
        <v>7718359.29251081</v>
      </c>
      <c r="AS318">
        <f t="shared" si="80"/>
        <v>96479.4911563852</v>
      </c>
      <c r="AT318">
        <f t="shared" si="81"/>
        <v>0.0125</v>
      </c>
      <c r="AW318">
        <v>158.06</v>
      </c>
      <c r="AX318">
        <f t="shared" si="74"/>
        <v>0</v>
      </c>
      <c r="AY318">
        <f t="shared" si="82"/>
        <v>0</v>
      </c>
      <c r="AZ318">
        <f t="shared" si="89"/>
        <v>0</v>
      </c>
      <c r="BA318">
        <f t="shared" si="90"/>
        <v>0</v>
      </c>
      <c r="BB318">
        <f t="shared" si="83"/>
        <v>8867861.29797591</v>
      </c>
      <c r="BC318">
        <f t="shared" si="75"/>
        <v>110848.266224699</v>
      </c>
      <c r="BD318">
        <f t="shared" si="76"/>
        <v>0.0125</v>
      </c>
      <c r="BG318">
        <f t="shared" si="84"/>
        <v>0</v>
      </c>
      <c r="BH318">
        <f t="shared" si="85"/>
        <v>7170079.31508434</v>
      </c>
      <c r="BI318">
        <f t="shared" si="77"/>
        <v>89625.9914385543</v>
      </c>
      <c r="BJ318">
        <f t="shared" si="78"/>
        <v>0.0125</v>
      </c>
    </row>
    <row r="319" spans="39:62">
      <c r="AM319">
        <v>65.94</v>
      </c>
      <c r="AN319">
        <f t="shared" si="79"/>
        <v>0</v>
      </c>
      <c r="AO319">
        <f t="shared" si="86"/>
        <v>0</v>
      </c>
      <c r="AP319">
        <f t="shared" si="87"/>
        <v>0</v>
      </c>
      <c r="AQ319">
        <f t="shared" si="91"/>
        <v>0</v>
      </c>
      <c r="AR319">
        <f t="shared" si="88"/>
        <v>7718359.29251081</v>
      </c>
      <c r="AS319">
        <f t="shared" si="80"/>
        <v>96479.4911563852</v>
      </c>
      <c r="AT319">
        <f t="shared" si="81"/>
        <v>0.0125</v>
      </c>
      <c r="AW319">
        <v>157.88</v>
      </c>
      <c r="AX319">
        <f t="shared" si="74"/>
        <v>0</v>
      </c>
      <c r="AY319">
        <f t="shared" si="82"/>
        <v>0</v>
      </c>
      <c r="AZ319">
        <f t="shared" si="89"/>
        <v>0</v>
      </c>
      <c r="BA319">
        <f t="shared" si="90"/>
        <v>0</v>
      </c>
      <c r="BB319">
        <f t="shared" si="83"/>
        <v>8867861.29797591</v>
      </c>
      <c r="BC319">
        <f t="shared" si="75"/>
        <v>110848.266224699</v>
      </c>
      <c r="BD319">
        <f t="shared" si="76"/>
        <v>0.0125</v>
      </c>
      <c r="BG319">
        <f t="shared" si="84"/>
        <v>0</v>
      </c>
      <c r="BH319">
        <f t="shared" si="85"/>
        <v>7170079.31508434</v>
      </c>
      <c r="BI319">
        <f t="shared" si="77"/>
        <v>89625.9914385543</v>
      </c>
      <c r="BJ319">
        <f t="shared" si="78"/>
        <v>0.0125</v>
      </c>
    </row>
    <row r="320" spans="39:62">
      <c r="AM320">
        <v>65.85</v>
      </c>
      <c r="AN320">
        <f t="shared" si="79"/>
        <v>0</v>
      </c>
      <c r="AO320">
        <f t="shared" si="86"/>
        <v>0</v>
      </c>
      <c r="AP320">
        <f t="shared" si="87"/>
        <v>0</v>
      </c>
      <c r="AQ320">
        <f t="shared" si="91"/>
        <v>0</v>
      </c>
      <c r="AR320">
        <f t="shared" si="88"/>
        <v>7718359.29251081</v>
      </c>
      <c r="AS320">
        <f t="shared" si="80"/>
        <v>96479.4911563852</v>
      </c>
      <c r="AT320">
        <f t="shared" si="81"/>
        <v>0.0125</v>
      </c>
      <c r="AW320">
        <v>158.96</v>
      </c>
      <c r="AX320">
        <f t="shared" si="74"/>
        <v>0</v>
      </c>
      <c r="AY320">
        <f t="shared" si="82"/>
        <v>0</v>
      </c>
      <c r="AZ320">
        <f t="shared" si="89"/>
        <v>0</v>
      </c>
      <c r="BA320">
        <f t="shared" si="90"/>
        <v>0</v>
      </c>
      <c r="BB320">
        <f t="shared" si="83"/>
        <v>8867861.29797591</v>
      </c>
      <c r="BC320">
        <f t="shared" si="75"/>
        <v>110848.266224699</v>
      </c>
      <c r="BD320">
        <f t="shared" si="76"/>
        <v>0.0125</v>
      </c>
      <c r="BG320">
        <f t="shared" si="84"/>
        <v>0</v>
      </c>
      <c r="BH320">
        <f t="shared" si="85"/>
        <v>7170079.31508434</v>
      </c>
      <c r="BI320">
        <f t="shared" si="77"/>
        <v>89625.9914385543</v>
      </c>
      <c r="BJ320">
        <f t="shared" si="78"/>
        <v>0.0125</v>
      </c>
    </row>
    <row r="321" spans="39:62">
      <c r="AM321">
        <v>65.31</v>
      </c>
      <c r="AN321">
        <f t="shared" si="79"/>
        <v>0</v>
      </c>
      <c r="AO321">
        <f t="shared" si="86"/>
        <v>0</v>
      </c>
      <c r="AP321">
        <f t="shared" si="87"/>
        <v>0</v>
      </c>
      <c r="AQ321">
        <f t="shared" si="91"/>
        <v>0</v>
      </c>
      <c r="AR321">
        <f t="shared" si="88"/>
        <v>7718359.29251081</v>
      </c>
      <c r="AS321">
        <f t="shared" si="80"/>
        <v>96479.4911563852</v>
      </c>
      <c r="AT321">
        <f t="shared" si="81"/>
        <v>0.0125</v>
      </c>
      <c r="AW321">
        <v>158.87</v>
      </c>
      <c r="AX321">
        <f t="shared" si="74"/>
        <v>0</v>
      </c>
      <c r="AY321">
        <f t="shared" si="82"/>
        <v>0</v>
      </c>
      <c r="AZ321">
        <f t="shared" si="89"/>
        <v>0</v>
      </c>
      <c r="BA321">
        <f t="shared" si="90"/>
        <v>0</v>
      </c>
      <c r="BB321">
        <f t="shared" si="83"/>
        <v>8867861.29797591</v>
      </c>
      <c r="BC321">
        <f t="shared" si="75"/>
        <v>110848.266224699</v>
      </c>
      <c r="BD321">
        <f t="shared" si="76"/>
        <v>0.0125</v>
      </c>
      <c r="BG321">
        <f t="shared" si="84"/>
        <v>0</v>
      </c>
      <c r="BH321">
        <f t="shared" si="85"/>
        <v>7170079.31508434</v>
      </c>
      <c r="BI321">
        <f t="shared" si="77"/>
        <v>89625.9914385543</v>
      </c>
      <c r="BJ321">
        <f t="shared" si="78"/>
        <v>0.0125</v>
      </c>
    </row>
    <row r="322" spans="39:62">
      <c r="AM322">
        <v>65.54</v>
      </c>
      <c r="AN322">
        <f t="shared" si="79"/>
        <v>0</v>
      </c>
      <c r="AO322">
        <f t="shared" si="86"/>
        <v>0</v>
      </c>
      <c r="AP322">
        <f t="shared" si="87"/>
        <v>0</v>
      </c>
      <c r="AQ322">
        <f t="shared" si="91"/>
        <v>0</v>
      </c>
      <c r="AR322">
        <f t="shared" si="88"/>
        <v>7718359.29251081</v>
      </c>
      <c r="AS322">
        <f t="shared" si="80"/>
        <v>96479.4911563852</v>
      </c>
      <c r="AT322">
        <f t="shared" si="81"/>
        <v>0.0125</v>
      </c>
      <c r="AW322">
        <v>158.93</v>
      </c>
      <c r="AX322">
        <f t="shared" ref="AX322:AX385" si="92">IF(V322&gt;0,AW322*1.01,IF(V322&lt;0,AW322*0.99,0))</f>
        <v>0</v>
      </c>
      <c r="AY322">
        <f t="shared" si="82"/>
        <v>0</v>
      </c>
      <c r="AZ322">
        <f t="shared" si="89"/>
        <v>0</v>
      </c>
      <c r="BA322">
        <f t="shared" si="90"/>
        <v>0</v>
      </c>
      <c r="BB322">
        <f t="shared" si="83"/>
        <v>8867861.29797591</v>
      </c>
      <c r="BC322">
        <f t="shared" ref="BC322:BC385" si="93">BB322*0.2/16</f>
        <v>110848.266224699</v>
      </c>
      <c r="BD322">
        <f t="shared" ref="BD322:BD385" si="94">BC322/BB322</f>
        <v>0.0125</v>
      </c>
      <c r="BG322">
        <f t="shared" si="84"/>
        <v>0</v>
      </c>
      <c r="BH322">
        <f t="shared" si="85"/>
        <v>7170079.31508434</v>
      </c>
      <c r="BI322">
        <f t="shared" ref="BI322:BI385" si="95">BH322*0.2/16</f>
        <v>89625.9914385543</v>
      </c>
      <c r="BJ322">
        <f t="shared" ref="BJ322:BJ385" si="96">BI322/BH322</f>
        <v>0.0125</v>
      </c>
    </row>
    <row r="323" spans="39:62">
      <c r="AM323">
        <v>65.485</v>
      </c>
      <c r="AN323">
        <f t="shared" ref="AN323:AN386" si="97">IF(L323&gt;0,AM323*1.01,IF(L323&lt;0,AM323*0.99,0))</f>
        <v>0</v>
      </c>
      <c r="AO323">
        <f t="shared" si="86"/>
        <v>0</v>
      </c>
      <c r="AP323">
        <f t="shared" si="87"/>
        <v>0</v>
      </c>
      <c r="AQ323">
        <f t="shared" si="91"/>
        <v>0</v>
      </c>
      <c r="AR323">
        <f t="shared" si="88"/>
        <v>7718359.29251081</v>
      </c>
      <c r="AS323">
        <f t="shared" ref="AS323:AS386" si="98">AR323*0.2/16</f>
        <v>96479.4911563852</v>
      </c>
      <c r="AT323">
        <f t="shared" ref="AT323:AT386" si="99">AS323/AR323</f>
        <v>0.0125</v>
      </c>
      <c r="AW323">
        <v>159.23</v>
      </c>
      <c r="AX323">
        <f t="shared" si="92"/>
        <v>0</v>
      </c>
      <c r="AY323">
        <f t="shared" ref="AY323:AY386" si="100">IF(AX323&lt;&gt;0,(AW323-AX323)*$BE$2/$BF$2*AA323,0)</f>
        <v>0</v>
      </c>
      <c r="AZ323">
        <f t="shared" si="89"/>
        <v>0</v>
      </c>
      <c r="BA323">
        <f t="shared" si="90"/>
        <v>0</v>
      </c>
      <c r="BB323">
        <f t="shared" ref="BB323:BB386" si="101">BA323+BB322</f>
        <v>8867861.29797591</v>
      </c>
      <c r="BC323">
        <f t="shared" si="93"/>
        <v>110848.266224699</v>
      </c>
      <c r="BD323">
        <f t="shared" si="94"/>
        <v>0.0125</v>
      </c>
      <c r="BG323">
        <f t="shared" ref="BG323:BG386" si="102">AY323+AO323</f>
        <v>0</v>
      </c>
      <c r="BH323">
        <f t="shared" ref="BH323:BH386" si="103">BG323+BH322</f>
        <v>7170079.31508434</v>
      </c>
      <c r="BI323">
        <f t="shared" si="95"/>
        <v>89625.9914385543</v>
      </c>
      <c r="BJ323">
        <f t="shared" si="96"/>
        <v>0.0125</v>
      </c>
    </row>
    <row r="324" spans="39:62">
      <c r="AM324">
        <v>65.435</v>
      </c>
      <c r="AN324">
        <f t="shared" si="97"/>
        <v>0</v>
      </c>
      <c r="AO324">
        <f t="shared" ref="AO324:AO387" si="104">IF(AN324&lt;&gt;0,(AM324-AN324)*$AU$2/$AV$2*L324,0)</f>
        <v>0</v>
      </c>
      <c r="AP324">
        <f t="shared" ref="AP324:AP387" si="105">(AM324-AM323)*$AU$2/$AV$2*Z323</f>
        <v>0</v>
      </c>
      <c r="AQ324">
        <f t="shared" si="91"/>
        <v>0</v>
      </c>
      <c r="AR324">
        <f t="shared" ref="AR324:AR387" si="106">AQ324+AR323</f>
        <v>7718359.29251081</v>
      </c>
      <c r="AS324">
        <f t="shared" si="98"/>
        <v>96479.4911563852</v>
      </c>
      <c r="AT324">
        <f t="shared" si="99"/>
        <v>0.0125</v>
      </c>
      <c r="AW324">
        <v>159.31</v>
      </c>
      <c r="AX324">
        <f t="shared" si="92"/>
        <v>0</v>
      </c>
      <c r="AY324">
        <f t="shared" si="100"/>
        <v>0</v>
      </c>
      <c r="AZ324">
        <f t="shared" ref="AZ324:AZ387" si="107">(AW324-AW323)*$BE$2/$BF$2*AC323</f>
        <v>0</v>
      </c>
      <c r="BA324">
        <f t="shared" ref="BA324:BA387" si="108">AY324+AZ324</f>
        <v>0</v>
      </c>
      <c r="BB324">
        <f t="shared" si="101"/>
        <v>8867861.29797591</v>
      </c>
      <c r="BC324">
        <f t="shared" si="93"/>
        <v>110848.266224699</v>
      </c>
      <c r="BD324">
        <f t="shared" si="94"/>
        <v>0.0125</v>
      </c>
      <c r="BG324">
        <f t="shared" si="102"/>
        <v>0</v>
      </c>
      <c r="BH324">
        <f t="shared" si="103"/>
        <v>7170079.31508434</v>
      </c>
      <c r="BI324">
        <f t="shared" si="95"/>
        <v>89625.9914385543</v>
      </c>
      <c r="BJ324">
        <f t="shared" si="96"/>
        <v>0.0125</v>
      </c>
    </row>
    <row r="325" spans="39:62">
      <c r="AM325">
        <v>65.435</v>
      </c>
      <c r="AN325">
        <f t="shared" si="97"/>
        <v>0</v>
      </c>
      <c r="AO325">
        <f t="shared" si="104"/>
        <v>0</v>
      </c>
      <c r="AP325">
        <f t="shared" si="105"/>
        <v>0</v>
      </c>
      <c r="AQ325">
        <f t="shared" ref="AQ325:AQ388" si="109">AO325+AP325</f>
        <v>0</v>
      </c>
      <c r="AR325">
        <f t="shared" si="106"/>
        <v>7718359.29251081</v>
      </c>
      <c r="AS325">
        <f t="shared" si="98"/>
        <v>96479.4911563852</v>
      </c>
      <c r="AT325">
        <f t="shared" si="99"/>
        <v>0.0125</v>
      </c>
      <c r="AW325">
        <v>159.31</v>
      </c>
      <c r="AX325">
        <f t="shared" si="92"/>
        <v>0</v>
      </c>
      <c r="AY325">
        <f t="shared" si="100"/>
        <v>0</v>
      </c>
      <c r="AZ325">
        <f t="shared" si="107"/>
        <v>0</v>
      </c>
      <c r="BA325">
        <f t="shared" si="108"/>
        <v>0</v>
      </c>
      <c r="BB325">
        <f t="shared" si="101"/>
        <v>8867861.29797591</v>
      </c>
      <c r="BC325">
        <f t="shared" si="93"/>
        <v>110848.266224699</v>
      </c>
      <c r="BD325">
        <f t="shared" si="94"/>
        <v>0.0125</v>
      </c>
      <c r="BG325">
        <f t="shared" si="102"/>
        <v>0</v>
      </c>
      <c r="BH325">
        <f t="shared" si="103"/>
        <v>7170079.31508434</v>
      </c>
      <c r="BI325">
        <f t="shared" si="95"/>
        <v>89625.9914385543</v>
      </c>
      <c r="BJ325">
        <f t="shared" si="96"/>
        <v>0.0125</v>
      </c>
    </row>
    <row r="326" spans="39:62">
      <c r="AM326">
        <v>65.33</v>
      </c>
      <c r="AN326">
        <f t="shared" si="97"/>
        <v>0</v>
      </c>
      <c r="AO326">
        <f t="shared" si="104"/>
        <v>0</v>
      </c>
      <c r="AP326">
        <f t="shared" si="105"/>
        <v>0</v>
      </c>
      <c r="AQ326">
        <f t="shared" si="109"/>
        <v>0</v>
      </c>
      <c r="AR326">
        <f t="shared" si="106"/>
        <v>7718359.29251081</v>
      </c>
      <c r="AS326">
        <f t="shared" si="98"/>
        <v>96479.4911563852</v>
      </c>
      <c r="AT326">
        <f t="shared" si="99"/>
        <v>0.0125</v>
      </c>
      <c r="AW326">
        <v>159.31</v>
      </c>
      <c r="AX326">
        <f t="shared" si="92"/>
        <v>0</v>
      </c>
      <c r="AY326">
        <f t="shared" si="100"/>
        <v>0</v>
      </c>
      <c r="AZ326">
        <f t="shared" si="107"/>
        <v>0</v>
      </c>
      <c r="BA326">
        <f t="shared" si="108"/>
        <v>0</v>
      </c>
      <c r="BB326">
        <f t="shared" si="101"/>
        <v>8867861.29797591</v>
      </c>
      <c r="BC326">
        <f t="shared" si="93"/>
        <v>110848.266224699</v>
      </c>
      <c r="BD326">
        <f t="shared" si="94"/>
        <v>0.0125</v>
      </c>
      <c r="BG326">
        <f t="shared" si="102"/>
        <v>0</v>
      </c>
      <c r="BH326">
        <f t="shared" si="103"/>
        <v>7170079.31508434</v>
      </c>
      <c r="BI326">
        <f t="shared" si="95"/>
        <v>89625.9914385543</v>
      </c>
      <c r="BJ326">
        <f t="shared" si="96"/>
        <v>0.0125</v>
      </c>
    </row>
    <row r="327" spans="39:62">
      <c r="AM327">
        <v>64.975</v>
      </c>
      <c r="AN327">
        <f t="shared" si="97"/>
        <v>0</v>
      </c>
      <c r="AO327">
        <f t="shared" si="104"/>
        <v>0</v>
      </c>
      <c r="AP327">
        <f t="shared" si="105"/>
        <v>0</v>
      </c>
      <c r="AQ327">
        <f t="shared" si="109"/>
        <v>0</v>
      </c>
      <c r="AR327">
        <f t="shared" si="106"/>
        <v>7718359.29251081</v>
      </c>
      <c r="AS327">
        <f t="shared" si="98"/>
        <v>96479.4911563852</v>
      </c>
      <c r="AT327">
        <f t="shared" si="99"/>
        <v>0.0125</v>
      </c>
      <c r="AW327">
        <v>159.43</v>
      </c>
      <c r="AX327">
        <f t="shared" si="92"/>
        <v>0</v>
      </c>
      <c r="AY327">
        <f t="shared" si="100"/>
        <v>0</v>
      </c>
      <c r="AZ327">
        <f t="shared" si="107"/>
        <v>0</v>
      </c>
      <c r="BA327">
        <f t="shared" si="108"/>
        <v>0</v>
      </c>
      <c r="BB327">
        <f t="shared" si="101"/>
        <v>8867861.29797591</v>
      </c>
      <c r="BC327">
        <f t="shared" si="93"/>
        <v>110848.266224699</v>
      </c>
      <c r="BD327">
        <f t="shared" si="94"/>
        <v>0.0125</v>
      </c>
      <c r="BG327">
        <f t="shared" si="102"/>
        <v>0</v>
      </c>
      <c r="BH327">
        <f t="shared" si="103"/>
        <v>7170079.31508434</v>
      </c>
      <c r="BI327">
        <f t="shared" si="95"/>
        <v>89625.9914385543</v>
      </c>
      <c r="BJ327">
        <f t="shared" si="96"/>
        <v>0.0125</v>
      </c>
    </row>
    <row r="328" spans="39:62">
      <c r="AM328">
        <v>65.245</v>
      </c>
      <c r="AN328">
        <f t="shared" si="97"/>
        <v>0</v>
      </c>
      <c r="AO328">
        <f t="shared" si="104"/>
        <v>0</v>
      </c>
      <c r="AP328">
        <f t="shared" si="105"/>
        <v>0</v>
      </c>
      <c r="AQ328">
        <f t="shared" si="109"/>
        <v>0</v>
      </c>
      <c r="AR328">
        <f t="shared" si="106"/>
        <v>7718359.29251081</v>
      </c>
      <c r="AS328">
        <f t="shared" si="98"/>
        <v>96479.4911563852</v>
      </c>
      <c r="AT328">
        <f t="shared" si="99"/>
        <v>0.0125</v>
      </c>
      <c r="AW328">
        <v>159.3</v>
      </c>
      <c r="AX328">
        <f t="shared" si="92"/>
        <v>0</v>
      </c>
      <c r="AY328">
        <f t="shared" si="100"/>
        <v>0</v>
      </c>
      <c r="AZ328">
        <f t="shared" si="107"/>
        <v>0</v>
      </c>
      <c r="BA328">
        <f t="shared" si="108"/>
        <v>0</v>
      </c>
      <c r="BB328">
        <f t="shared" si="101"/>
        <v>8867861.29797591</v>
      </c>
      <c r="BC328">
        <f t="shared" si="93"/>
        <v>110848.266224699</v>
      </c>
      <c r="BD328">
        <f t="shared" si="94"/>
        <v>0.0125</v>
      </c>
      <c r="BG328">
        <f t="shared" si="102"/>
        <v>0</v>
      </c>
      <c r="BH328">
        <f t="shared" si="103"/>
        <v>7170079.31508434</v>
      </c>
      <c r="BI328">
        <f t="shared" si="95"/>
        <v>89625.9914385543</v>
      </c>
      <c r="BJ328">
        <f t="shared" si="96"/>
        <v>0.0125</v>
      </c>
    </row>
    <row r="329" spans="39:62">
      <c r="AM329">
        <v>65.815</v>
      </c>
      <c r="AN329">
        <f t="shared" si="97"/>
        <v>0</v>
      </c>
      <c r="AO329">
        <f t="shared" si="104"/>
        <v>0</v>
      </c>
      <c r="AP329">
        <f t="shared" si="105"/>
        <v>0</v>
      </c>
      <c r="AQ329">
        <f t="shared" si="109"/>
        <v>0</v>
      </c>
      <c r="AR329">
        <f t="shared" si="106"/>
        <v>7718359.29251081</v>
      </c>
      <c r="AS329">
        <f t="shared" si="98"/>
        <v>96479.4911563852</v>
      </c>
      <c r="AT329">
        <f t="shared" si="99"/>
        <v>0.0125</v>
      </c>
      <c r="AW329">
        <v>159.47</v>
      </c>
      <c r="AX329">
        <f t="shared" si="92"/>
        <v>0</v>
      </c>
      <c r="AY329">
        <f t="shared" si="100"/>
        <v>0</v>
      </c>
      <c r="AZ329">
        <f t="shared" si="107"/>
        <v>0</v>
      </c>
      <c r="BA329">
        <f t="shared" si="108"/>
        <v>0</v>
      </c>
      <c r="BB329">
        <f t="shared" si="101"/>
        <v>8867861.29797591</v>
      </c>
      <c r="BC329">
        <f t="shared" si="93"/>
        <v>110848.266224699</v>
      </c>
      <c r="BD329">
        <f t="shared" si="94"/>
        <v>0.0125</v>
      </c>
      <c r="BG329">
        <f t="shared" si="102"/>
        <v>0</v>
      </c>
      <c r="BH329">
        <f t="shared" si="103"/>
        <v>7170079.31508434</v>
      </c>
      <c r="BI329">
        <f t="shared" si="95"/>
        <v>89625.9914385543</v>
      </c>
      <c r="BJ329">
        <f t="shared" si="96"/>
        <v>0.0125</v>
      </c>
    </row>
    <row r="330" spans="39:62">
      <c r="AM330">
        <v>66.135</v>
      </c>
      <c r="AN330">
        <f t="shared" si="97"/>
        <v>0</v>
      </c>
      <c r="AO330">
        <f t="shared" si="104"/>
        <v>0</v>
      </c>
      <c r="AP330">
        <f t="shared" si="105"/>
        <v>0</v>
      </c>
      <c r="AQ330">
        <f t="shared" si="109"/>
        <v>0</v>
      </c>
      <c r="AR330">
        <f t="shared" si="106"/>
        <v>7718359.29251081</v>
      </c>
      <c r="AS330">
        <f t="shared" si="98"/>
        <v>96479.4911563852</v>
      </c>
      <c r="AT330">
        <f t="shared" si="99"/>
        <v>0.0125</v>
      </c>
      <c r="AW330">
        <v>159.11</v>
      </c>
      <c r="AX330">
        <f t="shared" si="92"/>
        <v>0</v>
      </c>
      <c r="AY330">
        <f t="shared" si="100"/>
        <v>0</v>
      </c>
      <c r="AZ330">
        <f t="shared" si="107"/>
        <v>0</v>
      </c>
      <c r="BA330">
        <f t="shared" si="108"/>
        <v>0</v>
      </c>
      <c r="BB330">
        <f t="shared" si="101"/>
        <v>8867861.29797591</v>
      </c>
      <c r="BC330">
        <f t="shared" si="93"/>
        <v>110848.266224699</v>
      </c>
      <c r="BD330">
        <f t="shared" si="94"/>
        <v>0.0125</v>
      </c>
      <c r="BG330">
        <f t="shared" si="102"/>
        <v>0</v>
      </c>
      <c r="BH330">
        <f t="shared" si="103"/>
        <v>7170079.31508434</v>
      </c>
      <c r="BI330">
        <f t="shared" si="95"/>
        <v>89625.9914385543</v>
      </c>
      <c r="BJ330">
        <f t="shared" si="96"/>
        <v>0.0125</v>
      </c>
    </row>
    <row r="331" spans="39:62">
      <c r="AM331">
        <v>65.945</v>
      </c>
      <c r="AN331">
        <f t="shared" si="97"/>
        <v>0</v>
      </c>
      <c r="AO331">
        <f t="shared" si="104"/>
        <v>0</v>
      </c>
      <c r="AP331">
        <f t="shared" si="105"/>
        <v>0</v>
      </c>
      <c r="AQ331">
        <f t="shared" si="109"/>
        <v>0</v>
      </c>
      <c r="AR331">
        <f t="shared" si="106"/>
        <v>7718359.29251081</v>
      </c>
      <c r="AS331">
        <f t="shared" si="98"/>
        <v>96479.4911563852</v>
      </c>
      <c r="AT331">
        <f t="shared" si="99"/>
        <v>0.0125</v>
      </c>
      <c r="AW331">
        <v>159.5</v>
      </c>
      <c r="AX331">
        <f t="shared" si="92"/>
        <v>0</v>
      </c>
      <c r="AY331">
        <f t="shared" si="100"/>
        <v>0</v>
      </c>
      <c r="AZ331">
        <f t="shared" si="107"/>
        <v>0</v>
      </c>
      <c r="BA331">
        <f t="shared" si="108"/>
        <v>0</v>
      </c>
      <c r="BB331">
        <f t="shared" si="101"/>
        <v>8867861.29797591</v>
      </c>
      <c r="BC331">
        <f t="shared" si="93"/>
        <v>110848.266224699</v>
      </c>
      <c r="BD331">
        <f t="shared" si="94"/>
        <v>0.0125</v>
      </c>
      <c r="BG331">
        <f t="shared" si="102"/>
        <v>0</v>
      </c>
      <c r="BH331">
        <f t="shared" si="103"/>
        <v>7170079.31508434</v>
      </c>
      <c r="BI331">
        <f t="shared" si="95"/>
        <v>89625.9914385543</v>
      </c>
      <c r="BJ331">
        <f t="shared" si="96"/>
        <v>0.0125</v>
      </c>
    </row>
    <row r="332" spans="39:62">
      <c r="AM332">
        <v>66.18</v>
      </c>
      <c r="AN332">
        <f t="shared" si="97"/>
        <v>0</v>
      </c>
      <c r="AO332">
        <f t="shared" si="104"/>
        <v>0</v>
      </c>
      <c r="AP332">
        <f t="shared" si="105"/>
        <v>0</v>
      </c>
      <c r="AQ332">
        <f t="shared" si="109"/>
        <v>0</v>
      </c>
      <c r="AR332">
        <f t="shared" si="106"/>
        <v>7718359.29251081</v>
      </c>
      <c r="AS332">
        <f t="shared" si="98"/>
        <v>96479.4911563852</v>
      </c>
      <c r="AT332">
        <f t="shared" si="99"/>
        <v>0.0125</v>
      </c>
      <c r="AW332">
        <v>159.3</v>
      </c>
      <c r="AX332">
        <f t="shared" si="92"/>
        <v>0</v>
      </c>
      <c r="AY332">
        <f t="shared" si="100"/>
        <v>0</v>
      </c>
      <c r="AZ332">
        <f t="shared" si="107"/>
        <v>0</v>
      </c>
      <c r="BA332">
        <f t="shared" si="108"/>
        <v>0</v>
      </c>
      <c r="BB332">
        <f t="shared" si="101"/>
        <v>8867861.29797591</v>
      </c>
      <c r="BC332">
        <f t="shared" si="93"/>
        <v>110848.266224699</v>
      </c>
      <c r="BD332">
        <f t="shared" si="94"/>
        <v>0.0125</v>
      </c>
      <c r="BG332">
        <f t="shared" si="102"/>
        <v>0</v>
      </c>
      <c r="BH332">
        <f t="shared" si="103"/>
        <v>7170079.31508434</v>
      </c>
      <c r="BI332">
        <f t="shared" si="95"/>
        <v>89625.9914385543</v>
      </c>
      <c r="BJ332">
        <f t="shared" si="96"/>
        <v>0.0125</v>
      </c>
    </row>
    <row r="333" spans="39:62">
      <c r="AM333">
        <v>66.34</v>
      </c>
      <c r="AN333">
        <f t="shared" si="97"/>
        <v>0</v>
      </c>
      <c r="AO333">
        <f t="shared" si="104"/>
        <v>0</v>
      </c>
      <c r="AP333">
        <f t="shared" si="105"/>
        <v>0</v>
      </c>
      <c r="AQ333">
        <f t="shared" si="109"/>
        <v>0</v>
      </c>
      <c r="AR333">
        <f t="shared" si="106"/>
        <v>7718359.29251081</v>
      </c>
      <c r="AS333">
        <f t="shared" si="98"/>
        <v>96479.4911563852</v>
      </c>
      <c r="AT333">
        <f t="shared" si="99"/>
        <v>0.0125</v>
      </c>
      <c r="AW333">
        <v>159.05</v>
      </c>
      <c r="AX333">
        <f t="shared" si="92"/>
        <v>0</v>
      </c>
      <c r="AY333">
        <f t="shared" si="100"/>
        <v>0</v>
      </c>
      <c r="AZ333">
        <f t="shared" si="107"/>
        <v>0</v>
      </c>
      <c r="BA333">
        <f t="shared" si="108"/>
        <v>0</v>
      </c>
      <c r="BB333">
        <f t="shared" si="101"/>
        <v>8867861.29797591</v>
      </c>
      <c r="BC333">
        <f t="shared" si="93"/>
        <v>110848.266224699</v>
      </c>
      <c r="BD333">
        <f t="shared" si="94"/>
        <v>0.0125</v>
      </c>
      <c r="BG333">
        <f t="shared" si="102"/>
        <v>0</v>
      </c>
      <c r="BH333">
        <f t="shared" si="103"/>
        <v>7170079.31508434</v>
      </c>
      <c r="BI333">
        <f t="shared" si="95"/>
        <v>89625.9914385543</v>
      </c>
      <c r="BJ333">
        <f t="shared" si="96"/>
        <v>0.0125</v>
      </c>
    </row>
    <row r="334" spans="39:62">
      <c r="AM334">
        <v>65.145</v>
      </c>
      <c r="AN334">
        <f t="shared" si="97"/>
        <v>0</v>
      </c>
      <c r="AO334">
        <f t="shared" si="104"/>
        <v>0</v>
      </c>
      <c r="AP334">
        <f t="shared" si="105"/>
        <v>0</v>
      </c>
      <c r="AQ334">
        <f t="shared" si="109"/>
        <v>0</v>
      </c>
      <c r="AR334">
        <f t="shared" si="106"/>
        <v>7718359.29251081</v>
      </c>
      <c r="AS334">
        <f t="shared" si="98"/>
        <v>96479.4911563852</v>
      </c>
      <c r="AT334">
        <f t="shared" si="99"/>
        <v>0.0125</v>
      </c>
      <c r="AW334">
        <v>159.5</v>
      </c>
      <c r="AX334">
        <f t="shared" si="92"/>
        <v>0</v>
      </c>
      <c r="AY334">
        <f t="shared" si="100"/>
        <v>0</v>
      </c>
      <c r="AZ334">
        <f t="shared" si="107"/>
        <v>0</v>
      </c>
      <c r="BA334">
        <f t="shared" si="108"/>
        <v>0</v>
      </c>
      <c r="BB334">
        <f t="shared" si="101"/>
        <v>8867861.29797591</v>
      </c>
      <c r="BC334">
        <f t="shared" si="93"/>
        <v>110848.266224699</v>
      </c>
      <c r="BD334">
        <f t="shared" si="94"/>
        <v>0.0125</v>
      </c>
      <c r="BG334">
        <f t="shared" si="102"/>
        <v>0</v>
      </c>
      <c r="BH334">
        <f t="shared" si="103"/>
        <v>7170079.31508434</v>
      </c>
      <c r="BI334">
        <f t="shared" si="95"/>
        <v>89625.9914385543</v>
      </c>
      <c r="BJ334">
        <f t="shared" si="96"/>
        <v>0.0125</v>
      </c>
    </row>
    <row r="335" spans="39:62">
      <c r="AM335">
        <v>65.52</v>
      </c>
      <c r="AN335">
        <f t="shared" si="97"/>
        <v>0</v>
      </c>
      <c r="AO335">
        <f t="shared" si="104"/>
        <v>0</v>
      </c>
      <c r="AP335">
        <f t="shared" si="105"/>
        <v>0</v>
      </c>
      <c r="AQ335">
        <f t="shared" si="109"/>
        <v>0</v>
      </c>
      <c r="AR335">
        <f t="shared" si="106"/>
        <v>7718359.29251081</v>
      </c>
      <c r="AS335">
        <f t="shared" si="98"/>
        <v>96479.4911563852</v>
      </c>
      <c r="AT335">
        <f t="shared" si="99"/>
        <v>0.0125</v>
      </c>
      <c r="AW335">
        <v>159.29</v>
      </c>
      <c r="AX335">
        <f t="shared" si="92"/>
        <v>0</v>
      </c>
      <c r="AY335">
        <f t="shared" si="100"/>
        <v>0</v>
      </c>
      <c r="AZ335">
        <f t="shared" si="107"/>
        <v>0</v>
      </c>
      <c r="BA335">
        <f t="shared" si="108"/>
        <v>0</v>
      </c>
      <c r="BB335">
        <f t="shared" si="101"/>
        <v>8867861.29797591</v>
      </c>
      <c r="BC335">
        <f t="shared" si="93"/>
        <v>110848.266224699</v>
      </c>
      <c r="BD335">
        <f t="shared" si="94"/>
        <v>0.0125</v>
      </c>
      <c r="BG335">
        <f t="shared" si="102"/>
        <v>0</v>
      </c>
      <c r="BH335">
        <f t="shared" si="103"/>
        <v>7170079.31508434</v>
      </c>
      <c r="BI335">
        <f t="shared" si="95"/>
        <v>89625.9914385543</v>
      </c>
      <c r="BJ335">
        <f t="shared" si="96"/>
        <v>0.0125</v>
      </c>
    </row>
    <row r="336" spans="39:62">
      <c r="AM336">
        <v>64.69</v>
      </c>
      <c r="AN336">
        <f t="shared" si="97"/>
        <v>0</v>
      </c>
      <c r="AO336">
        <f t="shared" si="104"/>
        <v>0</v>
      </c>
      <c r="AP336">
        <f t="shared" si="105"/>
        <v>0</v>
      </c>
      <c r="AQ336">
        <f t="shared" si="109"/>
        <v>0</v>
      </c>
      <c r="AR336">
        <f t="shared" si="106"/>
        <v>7718359.29251081</v>
      </c>
      <c r="AS336">
        <f t="shared" si="98"/>
        <v>96479.4911563852</v>
      </c>
      <c r="AT336">
        <f t="shared" si="99"/>
        <v>0.0125</v>
      </c>
      <c r="AW336">
        <v>159.34</v>
      </c>
      <c r="AX336">
        <f t="shared" si="92"/>
        <v>0</v>
      </c>
      <c r="AY336">
        <f t="shared" si="100"/>
        <v>0</v>
      </c>
      <c r="AZ336">
        <f t="shared" si="107"/>
        <v>0</v>
      </c>
      <c r="BA336">
        <f t="shared" si="108"/>
        <v>0</v>
      </c>
      <c r="BB336">
        <f t="shared" si="101"/>
        <v>8867861.29797591</v>
      </c>
      <c r="BC336">
        <f t="shared" si="93"/>
        <v>110848.266224699</v>
      </c>
      <c r="BD336">
        <f t="shared" si="94"/>
        <v>0.0125</v>
      </c>
      <c r="BG336">
        <f t="shared" si="102"/>
        <v>0</v>
      </c>
      <c r="BH336">
        <f t="shared" si="103"/>
        <v>7170079.31508434</v>
      </c>
      <c r="BI336">
        <f t="shared" si="95"/>
        <v>89625.9914385543</v>
      </c>
      <c r="BJ336">
        <f t="shared" si="96"/>
        <v>0.0125</v>
      </c>
    </row>
    <row r="337" spans="39:62">
      <c r="AM337">
        <v>64.535</v>
      </c>
      <c r="AN337">
        <f t="shared" si="97"/>
        <v>0</v>
      </c>
      <c r="AO337">
        <f t="shared" si="104"/>
        <v>0</v>
      </c>
      <c r="AP337">
        <f t="shared" si="105"/>
        <v>0</v>
      </c>
      <c r="AQ337">
        <f t="shared" si="109"/>
        <v>0</v>
      </c>
      <c r="AR337">
        <f t="shared" si="106"/>
        <v>7718359.29251081</v>
      </c>
      <c r="AS337">
        <f t="shared" si="98"/>
        <v>96479.4911563852</v>
      </c>
      <c r="AT337">
        <f t="shared" si="99"/>
        <v>0.0125</v>
      </c>
      <c r="AW337">
        <v>159.15</v>
      </c>
      <c r="AX337">
        <f t="shared" si="92"/>
        <v>0</v>
      </c>
      <c r="AY337">
        <f t="shared" si="100"/>
        <v>0</v>
      </c>
      <c r="AZ337">
        <f t="shared" si="107"/>
        <v>0</v>
      </c>
      <c r="BA337">
        <f t="shared" si="108"/>
        <v>0</v>
      </c>
      <c r="BB337">
        <f t="shared" si="101"/>
        <v>8867861.29797591</v>
      </c>
      <c r="BC337">
        <f t="shared" si="93"/>
        <v>110848.266224699</v>
      </c>
      <c r="BD337">
        <f t="shared" si="94"/>
        <v>0.0125</v>
      </c>
      <c r="BG337">
        <f t="shared" si="102"/>
        <v>0</v>
      </c>
      <c r="BH337">
        <f t="shared" si="103"/>
        <v>7170079.31508434</v>
      </c>
      <c r="BI337">
        <f t="shared" si="95"/>
        <v>89625.9914385543</v>
      </c>
      <c r="BJ337">
        <f t="shared" si="96"/>
        <v>0.0125</v>
      </c>
    </row>
    <row r="338" spans="39:62">
      <c r="AM338">
        <v>64.245</v>
      </c>
      <c r="AN338">
        <f t="shared" si="97"/>
        <v>0</v>
      </c>
      <c r="AO338">
        <f t="shared" si="104"/>
        <v>0</v>
      </c>
      <c r="AP338">
        <f t="shared" si="105"/>
        <v>0</v>
      </c>
      <c r="AQ338">
        <f t="shared" si="109"/>
        <v>0</v>
      </c>
      <c r="AR338">
        <f t="shared" si="106"/>
        <v>7718359.29251081</v>
      </c>
      <c r="AS338">
        <f t="shared" si="98"/>
        <v>96479.4911563852</v>
      </c>
      <c r="AT338">
        <f t="shared" si="99"/>
        <v>0.0125</v>
      </c>
      <c r="AW338">
        <v>159.34</v>
      </c>
      <c r="AX338">
        <f t="shared" si="92"/>
        <v>0</v>
      </c>
      <c r="AY338">
        <f t="shared" si="100"/>
        <v>0</v>
      </c>
      <c r="AZ338">
        <f t="shared" si="107"/>
        <v>0</v>
      </c>
      <c r="BA338">
        <f t="shared" si="108"/>
        <v>0</v>
      </c>
      <c r="BB338">
        <f t="shared" si="101"/>
        <v>8867861.29797591</v>
      </c>
      <c r="BC338">
        <f t="shared" si="93"/>
        <v>110848.266224699</v>
      </c>
      <c r="BD338">
        <f t="shared" si="94"/>
        <v>0.0125</v>
      </c>
      <c r="BG338">
        <f t="shared" si="102"/>
        <v>0</v>
      </c>
      <c r="BH338">
        <f t="shared" si="103"/>
        <v>7170079.31508434</v>
      </c>
      <c r="BI338">
        <f t="shared" si="95"/>
        <v>89625.9914385543</v>
      </c>
      <c r="BJ338">
        <f t="shared" si="96"/>
        <v>0.0125</v>
      </c>
    </row>
    <row r="339" spans="39:62">
      <c r="AM339">
        <v>64.475</v>
      </c>
      <c r="AN339">
        <f t="shared" si="97"/>
        <v>0</v>
      </c>
      <c r="AO339">
        <f t="shared" si="104"/>
        <v>0</v>
      </c>
      <c r="AP339">
        <f t="shared" si="105"/>
        <v>0</v>
      </c>
      <c r="AQ339">
        <f t="shared" si="109"/>
        <v>0</v>
      </c>
      <c r="AR339">
        <f t="shared" si="106"/>
        <v>7718359.29251081</v>
      </c>
      <c r="AS339">
        <f t="shared" si="98"/>
        <v>96479.4911563852</v>
      </c>
      <c r="AT339">
        <f t="shared" si="99"/>
        <v>0.0125</v>
      </c>
      <c r="AW339">
        <v>159.05</v>
      </c>
      <c r="AX339">
        <f t="shared" si="92"/>
        <v>0</v>
      </c>
      <c r="AY339">
        <f t="shared" si="100"/>
        <v>0</v>
      </c>
      <c r="AZ339">
        <f t="shared" si="107"/>
        <v>0</v>
      </c>
      <c r="BA339">
        <f t="shared" si="108"/>
        <v>0</v>
      </c>
      <c r="BB339">
        <f t="shared" si="101"/>
        <v>8867861.29797591</v>
      </c>
      <c r="BC339">
        <f t="shared" si="93"/>
        <v>110848.266224699</v>
      </c>
      <c r="BD339">
        <f t="shared" si="94"/>
        <v>0.0125</v>
      </c>
      <c r="BG339">
        <f t="shared" si="102"/>
        <v>0</v>
      </c>
      <c r="BH339">
        <f t="shared" si="103"/>
        <v>7170079.31508434</v>
      </c>
      <c r="BI339">
        <f t="shared" si="95"/>
        <v>89625.9914385543</v>
      </c>
      <c r="BJ339">
        <f t="shared" si="96"/>
        <v>0.0125</v>
      </c>
    </row>
    <row r="340" spans="39:62">
      <c r="AM340">
        <v>64.305</v>
      </c>
      <c r="AN340">
        <f t="shared" si="97"/>
        <v>0</v>
      </c>
      <c r="AO340">
        <f t="shared" si="104"/>
        <v>0</v>
      </c>
      <c r="AP340">
        <f t="shared" si="105"/>
        <v>0</v>
      </c>
      <c r="AQ340">
        <f t="shared" si="109"/>
        <v>0</v>
      </c>
      <c r="AR340">
        <f t="shared" si="106"/>
        <v>7718359.29251081</v>
      </c>
      <c r="AS340">
        <f t="shared" si="98"/>
        <v>96479.4911563852</v>
      </c>
      <c r="AT340">
        <f t="shared" si="99"/>
        <v>0.0125</v>
      </c>
      <c r="AW340">
        <v>158.17</v>
      </c>
      <c r="AX340">
        <f t="shared" si="92"/>
        <v>0</v>
      </c>
      <c r="AY340">
        <f t="shared" si="100"/>
        <v>0</v>
      </c>
      <c r="AZ340">
        <f t="shared" si="107"/>
        <v>0</v>
      </c>
      <c r="BA340">
        <f t="shared" si="108"/>
        <v>0</v>
      </c>
      <c r="BB340">
        <f t="shared" si="101"/>
        <v>8867861.29797591</v>
      </c>
      <c r="BC340">
        <f t="shared" si="93"/>
        <v>110848.266224699</v>
      </c>
      <c r="BD340">
        <f t="shared" si="94"/>
        <v>0.0125</v>
      </c>
      <c r="BG340">
        <f t="shared" si="102"/>
        <v>0</v>
      </c>
      <c r="BH340">
        <f t="shared" si="103"/>
        <v>7170079.31508434</v>
      </c>
      <c r="BI340">
        <f t="shared" si="95"/>
        <v>89625.9914385543</v>
      </c>
      <c r="BJ340">
        <f t="shared" si="96"/>
        <v>0.0125</v>
      </c>
    </row>
    <row r="341" spans="39:62">
      <c r="AM341">
        <v>64.275</v>
      </c>
      <c r="AN341">
        <f t="shared" si="97"/>
        <v>0</v>
      </c>
      <c r="AO341">
        <f t="shared" si="104"/>
        <v>0</v>
      </c>
      <c r="AP341">
        <f t="shared" si="105"/>
        <v>0</v>
      </c>
      <c r="AQ341">
        <f t="shared" si="109"/>
        <v>0</v>
      </c>
      <c r="AR341">
        <f t="shared" si="106"/>
        <v>7718359.29251081</v>
      </c>
      <c r="AS341">
        <f t="shared" si="98"/>
        <v>96479.4911563852</v>
      </c>
      <c r="AT341">
        <f t="shared" si="99"/>
        <v>0.0125</v>
      </c>
      <c r="AW341">
        <v>158.13</v>
      </c>
      <c r="AX341">
        <f t="shared" si="92"/>
        <v>0</v>
      </c>
      <c r="AY341">
        <f t="shared" si="100"/>
        <v>0</v>
      </c>
      <c r="AZ341">
        <f t="shared" si="107"/>
        <v>0</v>
      </c>
      <c r="BA341">
        <f t="shared" si="108"/>
        <v>0</v>
      </c>
      <c r="BB341">
        <f t="shared" si="101"/>
        <v>8867861.29797591</v>
      </c>
      <c r="BC341">
        <f t="shared" si="93"/>
        <v>110848.266224699</v>
      </c>
      <c r="BD341">
        <f t="shared" si="94"/>
        <v>0.0125</v>
      </c>
      <c r="BG341">
        <f t="shared" si="102"/>
        <v>0</v>
      </c>
      <c r="BH341">
        <f t="shared" si="103"/>
        <v>7170079.31508434</v>
      </c>
      <c r="BI341">
        <f t="shared" si="95"/>
        <v>89625.9914385543</v>
      </c>
      <c r="BJ341">
        <f t="shared" si="96"/>
        <v>0.0125</v>
      </c>
    </row>
    <row r="342" spans="39:62">
      <c r="AM342">
        <v>64.625</v>
      </c>
      <c r="AN342">
        <f t="shared" si="97"/>
        <v>0</v>
      </c>
      <c r="AO342">
        <f t="shared" si="104"/>
        <v>0</v>
      </c>
      <c r="AP342">
        <f t="shared" si="105"/>
        <v>0</v>
      </c>
      <c r="AQ342">
        <f t="shared" si="109"/>
        <v>0</v>
      </c>
      <c r="AR342">
        <f t="shared" si="106"/>
        <v>7718359.29251081</v>
      </c>
      <c r="AS342">
        <f t="shared" si="98"/>
        <v>96479.4911563852</v>
      </c>
      <c r="AT342">
        <f t="shared" si="99"/>
        <v>0.0125</v>
      </c>
      <c r="AW342">
        <v>157.8</v>
      </c>
      <c r="AX342">
        <f t="shared" si="92"/>
        <v>0</v>
      </c>
      <c r="AY342">
        <f t="shared" si="100"/>
        <v>0</v>
      </c>
      <c r="AZ342">
        <f t="shared" si="107"/>
        <v>0</v>
      </c>
      <c r="BA342">
        <f t="shared" si="108"/>
        <v>0</v>
      </c>
      <c r="BB342">
        <f t="shared" si="101"/>
        <v>8867861.29797591</v>
      </c>
      <c r="BC342">
        <f t="shared" si="93"/>
        <v>110848.266224699</v>
      </c>
      <c r="BD342">
        <f t="shared" si="94"/>
        <v>0.0125</v>
      </c>
      <c r="BG342">
        <f t="shared" si="102"/>
        <v>0</v>
      </c>
      <c r="BH342">
        <f t="shared" si="103"/>
        <v>7170079.31508434</v>
      </c>
      <c r="BI342">
        <f t="shared" si="95"/>
        <v>89625.9914385543</v>
      </c>
      <c r="BJ342">
        <f t="shared" si="96"/>
        <v>0.0125</v>
      </c>
    </row>
    <row r="343" spans="39:62">
      <c r="AM343">
        <v>64.98</v>
      </c>
      <c r="AN343">
        <f t="shared" si="97"/>
        <v>0</v>
      </c>
      <c r="AO343">
        <f t="shared" si="104"/>
        <v>0</v>
      </c>
      <c r="AP343">
        <f t="shared" si="105"/>
        <v>0</v>
      </c>
      <c r="AQ343">
        <f t="shared" si="109"/>
        <v>0</v>
      </c>
      <c r="AR343">
        <f t="shared" si="106"/>
        <v>7718359.29251081</v>
      </c>
      <c r="AS343">
        <f t="shared" si="98"/>
        <v>96479.4911563852</v>
      </c>
      <c r="AT343">
        <f t="shared" si="99"/>
        <v>0.0125</v>
      </c>
      <c r="AW343">
        <v>157.76</v>
      </c>
      <c r="AX343">
        <f t="shared" si="92"/>
        <v>0</v>
      </c>
      <c r="AY343">
        <f t="shared" si="100"/>
        <v>0</v>
      </c>
      <c r="AZ343">
        <f t="shared" si="107"/>
        <v>0</v>
      </c>
      <c r="BA343">
        <f t="shared" si="108"/>
        <v>0</v>
      </c>
      <c r="BB343">
        <f t="shared" si="101"/>
        <v>8867861.29797591</v>
      </c>
      <c r="BC343">
        <f t="shared" si="93"/>
        <v>110848.266224699</v>
      </c>
      <c r="BD343">
        <f t="shared" si="94"/>
        <v>0.0125</v>
      </c>
      <c r="BG343">
        <f t="shared" si="102"/>
        <v>0</v>
      </c>
      <c r="BH343">
        <f t="shared" si="103"/>
        <v>7170079.31508434</v>
      </c>
      <c r="BI343">
        <f t="shared" si="95"/>
        <v>89625.9914385543</v>
      </c>
      <c r="BJ343">
        <f t="shared" si="96"/>
        <v>0.0125</v>
      </c>
    </row>
    <row r="344" spans="39:62">
      <c r="AM344">
        <v>65.04</v>
      </c>
      <c r="AN344">
        <f t="shared" si="97"/>
        <v>0</v>
      </c>
      <c r="AO344">
        <f t="shared" si="104"/>
        <v>0</v>
      </c>
      <c r="AP344">
        <f t="shared" si="105"/>
        <v>0</v>
      </c>
      <c r="AQ344">
        <f t="shared" si="109"/>
        <v>0</v>
      </c>
      <c r="AR344">
        <f t="shared" si="106"/>
        <v>7718359.29251081</v>
      </c>
      <c r="AS344">
        <f t="shared" si="98"/>
        <v>96479.4911563852</v>
      </c>
      <c r="AT344">
        <f t="shared" si="99"/>
        <v>0.0125</v>
      </c>
      <c r="AW344">
        <v>157.72</v>
      </c>
      <c r="AX344">
        <f t="shared" si="92"/>
        <v>0</v>
      </c>
      <c r="AY344">
        <f t="shared" si="100"/>
        <v>0</v>
      </c>
      <c r="AZ344">
        <f t="shared" si="107"/>
        <v>0</v>
      </c>
      <c r="BA344">
        <f t="shared" si="108"/>
        <v>0</v>
      </c>
      <c r="BB344">
        <f t="shared" si="101"/>
        <v>8867861.29797591</v>
      </c>
      <c r="BC344">
        <f t="shared" si="93"/>
        <v>110848.266224699</v>
      </c>
      <c r="BD344">
        <f t="shared" si="94"/>
        <v>0.0125</v>
      </c>
      <c r="BG344">
        <f t="shared" si="102"/>
        <v>0</v>
      </c>
      <c r="BH344">
        <f t="shared" si="103"/>
        <v>7170079.31508434</v>
      </c>
      <c r="BI344">
        <f t="shared" si="95"/>
        <v>89625.9914385543</v>
      </c>
      <c r="BJ344">
        <f t="shared" si="96"/>
        <v>0.0125</v>
      </c>
    </row>
    <row r="345" spans="39:62">
      <c r="AM345">
        <v>65.24</v>
      </c>
      <c r="AN345">
        <f t="shared" si="97"/>
        <v>0</v>
      </c>
      <c r="AO345">
        <f t="shared" si="104"/>
        <v>0</v>
      </c>
      <c r="AP345">
        <f t="shared" si="105"/>
        <v>0</v>
      </c>
      <c r="AQ345">
        <f t="shared" si="109"/>
        <v>0</v>
      </c>
      <c r="AR345">
        <f t="shared" si="106"/>
        <v>7718359.29251081</v>
      </c>
      <c r="AS345">
        <f t="shared" si="98"/>
        <v>96479.4911563852</v>
      </c>
      <c r="AT345">
        <f t="shared" si="99"/>
        <v>0.0125</v>
      </c>
      <c r="AW345">
        <v>158.31</v>
      </c>
      <c r="AX345">
        <f t="shared" si="92"/>
        <v>0</v>
      </c>
      <c r="AY345">
        <f t="shared" si="100"/>
        <v>0</v>
      </c>
      <c r="AZ345">
        <f t="shared" si="107"/>
        <v>0</v>
      </c>
      <c r="BA345">
        <f t="shared" si="108"/>
        <v>0</v>
      </c>
      <c r="BB345">
        <f t="shared" si="101"/>
        <v>8867861.29797591</v>
      </c>
      <c r="BC345">
        <f t="shared" si="93"/>
        <v>110848.266224699</v>
      </c>
      <c r="BD345">
        <f t="shared" si="94"/>
        <v>0.0125</v>
      </c>
      <c r="BG345">
        <f t="shared" si="102"/>
        <v>0</v>
      </c>
      <c r="BH345">
        <f t="shared" si="103"/>
        <v>7170079.31508434</v>
      </c>
      <c r="BI345">
        <f t="shared" si="95"/>
        <v>89625.9914385543</v>
      </c>
      <c r="BJ345">
        <f t="shared" si="96"/>
        <v>0.0125</v>
      </c>
    </row>
    <row r="346" spans="39:62">
      <c r="AM346">
        <v>65.49</v>
      </c>
      <c r="AN346">
        <f t="shared" si="97"/>
        <v>0</v>
      </c>
      <c r="AO346">
        <f t="shared" si="104"/>
        <v>0</v>
      </c>
      <c r="AP346">
        <f t="shared" si="105"/>
        <v>0</v>
      </c>
      <c r="AQ346">
        <f t="shared" si="109"/>
        <v>0</v>
      </c>
      <c r="AR346">
        <f t="shared" si="106"/>
        <v>7718359.29251081</v>
      </c>
      <c r="AS346">
        <f t="shared" si="98"/>
        <v>96479.4911563852</v>
      </c>
      <c r="AT346">
        <f t="shared" si="99"/>
        <v>0.0125</v>
      </c>
      <c r="AW346">
        <v>158.66</v>
      </c>
      <c r="AX346">
        <f t="shared" si="92"/>
        <v>0</v>
      </c>
      <c r="AY346">
        <f t="shared" si="100"/>
        <v>0</v>
      </c>
      <c r="AZ346">
        <f t="shared" si="107"/>
        <v>0</v>
      </c>
      <c r="BA346">
        <f t="shared" si="108"/>
        <v>0</v>
      </c>
      <c r="BB346">
        <f t="shared" si="101"/>
        <v>8867861.29797591</v>
      </c>
      <c r="BC346">
        <f t="shared" si="93"/>
        <v>110848.266224699</v>
      </c>
      <c r="BD346">
        <f t="shared" si="94"/>
        <v>0.0125</v>
      </c>
      <c r="BG346">
        <f t="shared" si="102"/>
        <v>0</v>
      </c>
      <c r="BH346">
        <f t="shared" si="103"/>
        <v>7170079.31508434</v>
      </c>
      <c r="BI346">
        <f t="shared" si="95"/>
        <v>89625.9914385543</v>
      </c>
      <c r="BJ346">
        <f t="shared" si="96"/>
        <v>0.0125</v>
      </c>
    </row>
    <row r="347" spans="39:62">
      <c r="AM347">
        <v>65.785</v>
      </c>
      <c r="AN347">
        <f t="shared" si="97"/>
        <v>0</v>
      </c>
      <c r="AO347">
        <f t="shared" si="104"/>
        <v>0</v>
      </c>
      <c r="AP347">
        <f t="shared" si="105"/>
        <v>0</v>
      </c>
      <c r="AQ347">
        <f t="shared" si="109"/>
        <v>0</v>
      </c>
      <c r="AR347">
        <f t="shared" si="106"/>
        <v>7718359.29251081</v>
      </c>
      <c r="AS347">
        <f t="shared" si="98"/>
        <v>96479.4911563852</v>
      </c>
      <c r="AT347">
        <f t="shared" si="99"/>
        <v>0.0125</v>
      </c>
      <c r="AW347">
        <v>158.66</v>
      </c>
      <c r="AX347">
        <f t="shared" si="92"/>
        <v>0</v>
      </c>
      <c r="AY347">
        <f t="shared" si="100"/>
        <v>0</v>
      </c>
      <c r="AZ347">
        <f t="shared" si="107"/>
        <v>0</v>
      </c>
      <c r="BA347">
        <f t="shared" si="108"/>
        <v>0</v>
      </c>
      <c r="BB347">
        <f t="shared" si="101"/>
        <v>8867861.29797591</v>
      </c>
      <c r="BC347">
        <f t="shared" si="93"/>
        <v>110848.266224699</v>
      </c>
      <c r="BD347">
        <f t="shared" si="94"/>
        <v>0.0125</v>
      </c>
      <c r="BG347">
        <f t="shared" si="102"/>
        <v>0</v>
      </c>
      <c r="BH347">
        <f t="shared" si="103"/>
        <v>7170079.31508434</v>
      </c>
      <c r="BI347">
        <f t="shared" si="95"/>
        <v>89625.9914385543</v>
      </c>
      <c r="BJ347">
        <f t="shared" si="96"/>
        <v>0.0125</v>
      </c>
    </row>
    <row r="348" spans="39:62">
      <c r="AM348">
        <v>64.92</v>
      </c>
      <c r="AN348">
        <f t="shared" si="97"/>
        <v>0</v>
      </c>
      <c r="AO348">
        <f t="shared" si="104"/>
        <v>0</v>
      </c>
      <c r="AP348">
        <f t="shared" si="105"/>
        <v>0</v>
      </c>
      <c r="AQ348">
        <f t="shared" si="109"/>
        <v>0</v>
      </c>
      <c r="AR348">
        <f t="shared" si="106"/>
        <v>7718359.29251081</v>
      </c>
      <c r="AS348">
        <f t="shared" si="98"/>
        <v>96479.4911563852</v>
      </c>
      <c r="AT348">
        <f t="shared" si="99"/>
        <v>0.0125</v>
      </c>
      <c r="AW348">
        <v>158.74</v>
      </c>
      <c r="AX348">
        <f t="shared" si="92"/>
        <v>0</v>
      </c>
      <c r="AY348">
        <f t="shared" si="100"/>
        <v>0</v>
      </c>
      <c r="AZ348">
        <f t="shared" si="107"/>
        <v>0</v>
      </c>
      <c r="BA348">
        <f t="shared" si="108"/>
        <v>0</v>
      </c>
      <c r="BB348">
        <f t="shared" si="101"/>
        <v>8867861.29797591</v>
      </c>
      <c r="BC348">
        <f t="shared" si="93"/>
        <v>110848.266224699</v>
      </c>
      <c r="BD348">
        <f t="shared" si="94"/>
        <v>0.0125</v>
      </c>
      <c r="BG348">
        <f t="shared" si="102"/>
        <v>0</v>
      </c>
      <c r="BH348">
        <f t="shared" si="103"/>
        <v>7170079.31508434</v>
      </c>
      <c r="BI348">
        <f t="shared" si="95"/>
        <v>89625.9914385543</v>
      </c>
      <c r="BJ348">
        <f t="shared" si="96"/>
        <v>0.0125</v>
      </c>
    </row>
    <row r="349" spans="39:62">
      <c r="AM349">
        <v>65.42</v>
      </c>
      <c r="AN349">
        <f t="shared" si="97"/>
        <v>0</v>
      </c>
      <c r="AO349">
        <f t="shared" si="104"/>
        <v>0</v>
      </c>
      <c r="AP349">
        <f t="shared" si="105"/>
        <v>0</v>
      </c>
      <c r="AQ349">
        <f t="shared" si="109"/>
        <v>0</v>
      </c>
      <c r="AR349">
        <f t="shared" si="106"/>
        <v>7718359.29251081</v>
      </c>
      <c r="AS349">
        <f t="shared" si="98"/>
        <v>96479.4911563852</v>
      </c>
      <c r="AT349">
        <f t="shared" si="99"/>
        <v>0.0125</v>
      </c>
      <c r="AW349">
        <v>158.59</v>
      </c>
      <c r="AX349">
        <f t="shared" si="92"/>
        <v>0</v>
      </c>
      <c r="AY349">
        <f t="shared" si="100"/>
        <v>0</v>
      </c>
      <c r="AZ349">
        <f t="shared" si="107"/>
        <v>0</v>
      </c>
      <c r="BA349">
        <f t="shared" si="108"/>
        <v>0</v>
      </c>
      <c r="BB349">
        <f t="shared" si="101"/>
        <v>8867861.29797591</v>
      </c>
      <c r="BC349">
        <f t="shared" si="93"/>
        <v>110848.266224699</v>
      </c>
      <c r="BD349">
        <f t="shared" si="94"/>
        <v>0.0125</v>
      </c>
      <c r="BG349">
        <f t="shared" si="102"/>
        <v>0</v>
      </c>
      <c r="BH349">
        <f t="shared" si="103"/>
        <v>7170079.31508434</v>
      </c>
      <c r="BI349">
        <f t="shared" si="95"/>
        <v>89625.9914385543</v>
      </c>
      <c r="BJ349">
        <f t="shared" si="96"/>
        <v>0.0125</v>
      </c>
    </row>
    <row r="350" spans="39:62">
      <c r="AM350">
        <v>65.82</v>
      </c>
      <c r="AN350">
        <f t="shared" si="97"/>
        <v>0</v>
      </c>
      <c r="AO350">
        <f t="shared" si="104"/>
        <v>0</v>
      </c>
      <c r="AP350">
        <f t="shared" si="105"/>
        <v>0</v>
      </c>
      <c r="AQ350">
        <f t="shared" si="109"/>
        <v>0</v>
      </c>
      <c r="AR350">
        <f t="shared" si="106"/>
        <v>7718359.29251081</v>
      </c>
      <c r="AS350">
        <f t="shared" si="98"/>
        <v>96479.4911563852</v>
      </c>
      <c r="AT350">
        <f t="shared" si="99"/>
        <v>0.0125</v>
      </c>
      <c r="AW350">
        <v>159.26</v>
      </c>
      <c r="AX350">
        <f t="shared" si="92"/>
        <v>0</v>
      </c>
      <c r="AY350">
        <f t="shared" si="100"/>
        <v>0</v>
      </c>
      <c r="AZ350">
        <f t="shared" si="107"/>
        <v>0</v>
      </c>
      <c r="BA350">
        <f t="shared" si="108"/>
        <v>0</v>
      </c>
      <c r="BB350">
        <f t="shared" si="101"/>
        <v>8867861.29797591</v>
      </c>
      <c r="BC350">
        <f t="shared" si="93"/>
        <v>110848.266224699</v>
      </c>
      <c r="BD350">
        <f t="shared" si="94"/>
        <v>0.0125</v>
      </c>
      <c r="BG350">
        <f t="shared" si="102"/>
        <v>0</v>
      </c>
      <c r="BH350">
        <f t="shared" si="103"/>
        <v>7170079.31508434</v>
      </c>
      <c r="BI350">
        <f t="shared" si="95"/>
        <v>89625.9914385543</v>
      </c>
      <c r="BJ350">
        <f t="shared" si="96"/>
        <v>0.0125</v>
      </c>
    </row>
    <row r="351" spans="39:62">
      <c r="AM351">
        <v>66.225</v>
      </c>
      <c r="AN351">
        <f t="shared" si="97"/>
        <v>0</v>
      </c>
      <c r="AO351">
        <f t="shared" si="104"/>
        <v>0</v>
      </c>
      <c r="AP351">
        <f t="shared" si="105"/>
        <v>0</v>
      </c>
      <c r="AQ351">
        <f t="shared" si="109"/>
        <v>0</v>
      </c>
      <c r="AR351">
        <f t="shared" si="106"/>
        <v>7718359.29251081</v>
      </c>
      <c r="AS351">
        <f t="shared" si="98"/>
        <v>96479.4911563852</v>
      </c>
      <c r="AT351">
        <f t="shared" si="99"/>
        <v>0.0125</v>
      </c>
      <c r="AW351">
        <v>159.08</v>
      </c>
      <c r="AX351">
        <f t="shared" si="92"/>
        <v>0</v>
      </c>
      <c r="AY351">
        <f t="shared" si="100"/>
        <v>0</v>
      </c>
      <c r="AZ351">
        <f t="shared" si="107"/>
        <v>0</v>
      </c>
      <c r="BA351">
        <f t="shared" si="108"/>
        <v>0</v>
      </c>
      <c r="BB351">
        <f t="shared" si="101"/>
        <v>8867861.29797591</v>
      </c>
      <c r="BC351">
        <f t="shared" si="93"/>
        <v>110848.266224699</v>
      </c>
      <c r="BD351">
        <f t="shared" si="94"/>
        <v>0.0125</v>
      </c>
      <c r="BG351">
        <f t="shared" si="102"/>
        <v>0</v>
      </c>
      <c r="BH351">
        <f t="shared" si="103"/>
        <v>7170079.31508434</v>
      </c>
      <c r="BI351">
        <f t="shared" si="95"/>
        <v>89625.9914385543</v>
      </c>
      <c r="BJ351">
        <f t="shared" si="96"/>
        <v>0.0125</v>
      </c>
    </row>
    <row r="352" spans="39:62">
      <c r="AM352">
        <v>66.355</v>
      </c>
      <c r="AN352">
        <f t="shared" si="97"/>
        <v>0</v>
      </c>
      <c r="AO352">
        <f t="shared" si="104"/>
        <v>0</v>
      </c>
      <c r="AP352">
        <f t="shared" si="105"/>
        <v>0</v>
      </c>
      <c r="AQ352">
        <f t="shared" si="109"/>
        <v>0</v>
      </c>
      <c r="AR352">
        <f t="shared" si="106"/>
        <v>7718359.29251081</v>
      </c>
      <c r="AS352">
        <f t="shared" si="98"/>
        <v>96479.4911563852</v>
      </c>
      <c r="AT352">
        <f t="shared" si="99"/>
        <v>0.0125</v>
      </c>
      <c r="AW352">
        <v>159.31</v>
      </c>
      <c r="AX352">
        <f t="shared" si="92"/>
        <v>0</v>
      </c>
      <c r="AY352">
        <f t="shared" si="100"/>
        <v>0</v>
      </c>
      <c r="AZ352">
        <f t="shared" si="107"/>
        <v>0</v>
      </c>
      <c r="BA352">
        <f t="shared" si="108"/>
        <v>0</v>
      </c>
      <c r="BB352">
        <f t="shared" si="101"/>
        <v>8867861.29797591</v>
      </c>
      <c r="BC352">
        <f t="shared" si="93"/>
        <v>110848.266224699</v>
      </c>
      <c r="BD352">
        <f t="shared" si="94"/>
        <v>0.0125</v>
      </c>
      <c r="BG352">
        <f t="shared" si="102"/>
        <v>0</v>
      </c>
      <c r="BH352">
        <f t="shared" si="103"/>
        <v>7170079.31508434</v>
      </c>
      <c r="BI352">
        <f t="shared" si="95"/>
        <v>89625.9914385543</v>
      </c>
      <c r="BJ352">
        <f t="shared" si="96"/>
        <v>0.0125</v>
      </c>
    </row>
    <row r="353" spans="39:62">
      <c r="AM353">
        <v>66.015</v>
      </c>
      <c r="AN353">
        <f t="shared" si="97"/>
        <v>0</v>
      </c>
      <c r="AO353">
        <f t="shared" si="104"/>
        <v>0</v>
      </c>
      <c r="AP353">
        <f t="shared" si="105"/>
        <v>0</v>
      </c>
      <c r="AQ353">
        <f t="shared" si="109"/>
        <v>0</v>
      </c>
      <c r="AR353">
        <f t="shared" si="106"/>
        <v>7718359.29251081</v>
      </c>
      <c r="AS353">
        <f t="shared" si="98"/>
        <v>96479.4911563852</v>
      </c>
      <c r="AT353">
        <f t="shared" si="99"/>
        <v>0.0125</v>
      </c>
      <c r="AW353">
        <v>158.85</v>
      </c>
      <c r="AX353">
        <f t="shared" si="92"/>
        <v>0</v>
      </c>
      <c r="AY353">
        <f t="shared" si="100"/>
        <v>0</v>
      </c>
      <c r="AZ353">
        <f t="shared" si="107"/>
        <v>0</v>
      </c>
      <c r="BA353">
        <f t="shared" si="108"/>
        <v>0</v>
      </c>
      <c r="BB353">
        <f t="shared" si="101"/>
        <v>8867861.29797591</v>
      </c>
      <c r="BC353">
        <f t="shared" si="93"/>
        <v>110848.266224699</v>
      </c>
      <c r="BD353">
        <f t="shared" si="94"/>
        <v>0.0125</v>
      </c>
      <c r="BG353">
        <f t="shared" si="102"/>
        <v>0</v>
      </c>
      <c r="BH353">
        <f t="shared" si="103"/>
        <v>7170079.31508434</v>
      </c>
      <c r="BI353">
        <f t="shared" si="95"/>
        <v>89625.9914385543</v>
      </c>
      <c r="BJ353">
        <f t="shared" si="96"/>
        <v>0.0125</v>
      </c>
    </row>
    <row r="354" spans="39:62">
      <c r="AM354">
        <v>65.845</v>
      </c>
      <c r="AN354">
        <f t="shared" si="97"/>
        <v>0</v>
      </c>
      <c r="AO354">
        <f t="shared" si="104"/>
        <v>0</v>
      </c>
      <c r="AP354">
        <f t="shared" si="105"/>
        <v>0</v>
      </c>
      <c r="AQ354">
        <f t="shared" si="109"/>
        <v>0</v>
      </c>
      <c r="AR354">
        <f t="shared" si="106"/>
        <v>7718359.29251081</v>
      </c>
      <c r="AS354">
        <f t="shared" si="98"/>
        <v>96479.4911563852</v>
      </c>
      <c r="AT354">
        <f t="shared" si="99"/>
        <v>0.0125</v>
      </c>
      <c r="AW354">
        <v>158.85</v>
      </c>
      <c r="AX354">
        <f t="shared" si="92"/>
        <v>0</v>
      </c>
      <c r="AY354">
        <f t="shared" si="100"/>
        <v>0</v>
      </c>
      <c r="AZ354">
        <f t="shared" si="107"/>
        <v>0</v>
      </c>
      <c r="BA354">
        <f t="shared" si="108"/>
        <v>0</v>
      </c>
      <c r="BB354">
        <f t="shared" si="101"/>
        <v>8867861.29797591</v>
      </c>
      <c r="BC354">
        <f t="shared" si="93"/>
        <v>110848.266224699</v>
      </c>
      <c r="BD354">
        <f t="shared" si="94"/>
        <v>0.0125</v>
      </c>
      <c r="BG354">
        <f t="shared" si="102"/>
        <v>0</v>
      </c>
      <c r="BH354">
        <f t="shared" si="103"/>
        <v>7170079.31508434</v>
      </c>
      <c r="BI354">
        <f t="shared" si="95"/>
        <v>89625.9914385543</v>
      </c>
      <c r="BJ354">
        <f t="shared" si="96"/>
        <v>0.0125</v>
      </c>
    </row>
    <row r="355" spans="39:62">
      <c r="AM355">
        <v>66.265</v>
      </c>
      <c r="AN355">
        <f t="shared" si="97"/>
        <v>0</v>
      </c>
      <c r="AO355">
        <f t="shared" si="104"/>
        <v>0</v>
      </c>
      <c r="AP355">
        <f t="shared" si="105"/>
        <v>0</v>
      </c>
      <c r="AQ355">
        <f t="shared" si="109"/>
        <v>0</v>
      </c>
      <c r="AR355">
        <f t="shared" si="106"/>
        <v>7718359.29251081</v>
      </c>
      <c r="AS355">
        <f t="shared" si="98"/>
        <v>96479.4911563852</v>
      </c>
      <c r="AT355">
        <f t="shared" si="99"/>
        <v>0.0125</v>
      </c>
      <c r="AW355">
        <v>159.07</v>
      </c>
      <c r="AX355">
        <f t="shared" si="92"/>
        <v>0</v>
      </c>
      <c r="AY355">
        <f t="shared" si="100"/>
        <v>0</v>
      </c>
      <c r="AZ355">
        <f t="shared" si="107"/>
        <v>0</v>
      </c>
      <c r="BA355">
        <f t="shared" si="108"/>
        <v>0</v>
      </c>
      <c r="BB355">
        <f t="shared" si="101"/>
        <v>8867861.29797591</v>
      </c>
      <c r="BC355">
        <f t="shared" si="93"/>
        <v>110848.266224699</v>
      </c>
      <c r="BD355">
        <f t="shared" si="94"/>
        <v>0.0125</v>
      </c>
      <c r="BG355">
        <f t="shared" si="102"/>
        <v>0</v>
      </c>
      <c r="BH355">
        <f t="shared" si="103"/>
        <v>7170079.31508434</v>
      </c>
      <c r="BI355">
        <f t="shared" si="95"/>
        <v>89625.9914385543</v>
      </c>
      <c r="BJ355">
        <f t="shared" si="96"/>
        <v>0.0125</v>
      </c>
    </row>
    <row r="356" spans="39:62">
      <c r="AM356">
        <v>66.13</v>
      </c>
      <c r="AN356">
        <f t="shared" si="97"/>
        <v>0</v>
      </c>
      <c r="AO356">
        <f t="shared" si="104"/>
        <v>0</v>
      </c>
      <c r="AP356">
        <f t="shared" si="105"/>
        <v>0</v>
      </c>
      <c r="AQ356">
        <f t="shared" si="109"/>
        <v>0</v>
      </c>
      <c r="AR356">
        <f t="shared" si="106"/>
        <v>7718359.29251081</v>
      </c>
      <c r="AS356">
        <f t="shared" si="98"/>
        <v>96479.4911563852</v>
      </c>
      <c r="AT356">
        <f t="shared" si="99"/>
        <v>0.0125</v>
      </c>
      <c r="AW356">
        <v>158.85</v>
      </c>
      <c r="AX356">
        <f t="shared" si="92"/>
        <v>0</v>
      </c>
      <c r="AY356">
        <f t="shared" si="100"/>
        <v>0</v>
      </c>
      <c r="AZ356">
        <f t="shared" si="107"/>
        <v>0</v>
      </c>
      <c r="BA356">
        <f t="shared" si="108"/>
        <v>0</v>
      </c>
      <c r="BB356">
        <f t="shared" si="101"/>
        <v>8867861.29797591</v>
      </c>
      <c r="BC356">
        <f t="shared" si="93"/>
        <v>110848.266224699</v>
      </c>
      <c r="BD356">
        <f t="shared" si="94"/>
        <v>0.0125</v>
      </c>
      <c r="BG356">
        <f t="shared" si="102"/>
        <v>0</v>
      </c>
      <c r="BH356">
        <f t="shared" si="103"/>
        <v>7170079.31508434</v>
      </c>
      <c r="BI356">
        <f t="shared" si="95"/>
        <v>89625.9914385543</v>
      </c>
      <c r="BJ356">
        <f t="shared" si="96"/>
        <v>0.0125</v>
      </c>
    </row>
    <row r="357" spans="39:62">
      <c r="AM357">
        <v>66.16</v>
      </c>
      <c r="AN357">
        <f t="shared" si="97"/>
        <v>0</v>
      </c>
      <c r="AO357">
        <f t="shared" si="104"/>
        <v>0</v>
      </c>
      <c r="AP357">
        <f t="shared" si="105"/>
        <v>0</v>
      </c>
      <c r="AQ357">
        <f t="shared" si="109"/>
        <v>0</v>
      </c>
      <c r="AR357">
        <f t="shared" si="106"/>
        <v>7718359.29251081</v>
      </c>
      <c r="AS357">
        <f t="shared" si="98"/>
        <v>96479.4911563852</v>
      </c>
      <c r="AT357">
        <f t="shared" si="99"/>
        <v>0.0125</v>
      </c>
      <c r="AW357">
        <v>158.14</v>
      </c>
      <c r="AX357">
        <f t="shared" si="92"/>
        <v>0</v>
      </c>
      <c r="AY357">
        <f t="shared" si="100"/>
        <v>0</v>
      </c>
      <c r="AZ357">
        <f t="shared" si="107"/>
        <v>0</v>
      </c>
      <c r="BA357">
        <f t="shared" si="108"/>
        <v>0</v>
      </c>
      <c r="BB357">
        <f t="shared" si="101"/>
        <v>8867861.29797591</v>
      </c>
      <c r="BC357">
        <f t="shared" si="93"/>
        <v>110848.266224699</v>
      </c>
      <c r="BD357">
        <f t="shared" si="94"/>
        <v>0.0125</v>
      </c>
      <c r="BG357">
        <f t="shared" si="102"/>
        <v>0</v>
      </c>
      <c r="BH357">
        <f t="shared" si="103"/>
        <v>7170079.31508434</v>
      </c>
      <c r="BI357">
        <f t="shared" si="95"/>
        <v>89625.9914385543</v>
      </c>
      <c r="BJ357">
        <f t="shared" si="96"/>
        <v>0.0125</v>
      </c>
    </row>
    <row r="358" spans="39:62">
      <c r="AM358">
        <v>66.305</v>
      </c>
      <c r="AN358">
        <f t="shared" si="97"/>
        <v>0</v>
      </c>
      <c r="AO358">
        <f t="shared" si="104"/>
        <v>0</v>
      </c>
      <c r="AP358">
        <f t="shared" si="105"/>
        <v>0</v>
      </c>
      <c r="AQ358">
        <f t="shared" si="109"/>
        <v>0</v>
      </c>
      <c r="AR358">
        <f t="shared" si="106"/>
        <v>7718359.29251081</v>
      </c>
      <c r="AS358">
        <f t="shared" si="98"/>
        <v>96479.4911563852</v>
      </c>
      <c r="AT358">
        <f t="shared" si="99"/>
        <v>0.0125</v>
      </c>
      <c r="AW358">
        <v>157.76</v>
      </c>
      <c r="AX358">
        <f t="shared" si="92"/>
        <v>0</v>
      </c>
      <c r="AY358">
        <f t="shared" si="100"/>
        <v>0</v>
      </c>
      <c r="AZ358">
        <f t="shared" si="107"/>
        <v>0</v>
      </c>
      <c r="BA358">
        <f t="shared" si="108"/>
        <v>0</v>
      </c>
      <c r="BB358">
        <f t="shared" si="101"/>
        <v>8867861.29797591</v>
      </c>
      <c r="BC358">
        <f t="shared" si="93"/>
        <v>110848.266224699</v>
      </c>
      <c r="BD358">
        <f t="shared" si="94"/>
        <v>0.0125</v>
      </c>
      <c r="BG358">
        <f t="shared" si="102"/>
        <v>0</v>
      </c>
      <c r="BH358">
        <f t="shared" si="103"/>
        <v>7170079.31508434</v>
      </c>
      <c r="BI358">
        <f t="shared" si="95"/>
        <v>89625.9914385543</v>
      </c>
      <c r="BJ358">
        <f t="shared" si="96"/>
        <v>0.0125</v>
      </c>
    </row>
    <row r="359" spans="39:62">
      <c r="AM359">
        <v>66.965</v>
      </c>
      <c r="AN359">
        <f t="shared" si="97"/>
        <v>0</v>
      </c>
      <c r="AO359">
        <f t="shared" si="104"/>
        <v>0</v>
      </c>
      <c r="AP359">
        <f t="shared" si="105"/>
        <v>0</v>
      </c>
      <c r="AQ359">
        <f t="shared" si="109"/>
        <v>0</v>
      </c>
      <c r="AR359">
        <f t="shared" si="106"/>
        <v>7718359.29251081</v>
      </c>
      <c r="AS359">
        <f t="shared" si="98"/>
        <v>96479.4911563852</v>
      </c>
      <c r="AT359">
        <f t="shared" si="99"/>
        <v>0.0125</v>
      </c>
      <c r="AW359">
        <v>158.18</v>
      </c>
      <c r="AX359">
        <f t="shared" si="92"/>
        <v>0</v>
      </c>
      <c r="AY359">
        <f t="shared" si="100"/>
        <v>0</v>
      </c>
      <c r="AZ359">
        <f t="shared" si="107"/>
        <v>0</v>
      </c>
      <c r="BA359">
        <f t="shared" si="108"/>
        <v>0</v>
      </c>
      <c r="BB359">
        <f t="shared" si="101"/>
        <v>8867861.29797591</v>
      </c>
      <c r="BC359">
        <f t="shared" si="93"/>
        <v>110848.266224699</v>
      </c>
      <c r="BD359">
        <f t="shared" si="94"/>
        <v>0.0125</v>
      </c>
      <c r="BG359">
        <f t="shared" si="102"/>
        <v>0</v>
      </c>
      <c r="BH359">
        <f t="shared" si="103"/>
        <v>7170079.31508434</v>
      </c>
      <c r="BI359">
        <f t="shared" si="95"/>
        <v>89625.9914385543</v>
      </c>
      <c r="BJ359">
        <f t="shared" si="96"/>
        <v>0.0125</v>
      </c>
    </row>
    <row r="360" spans="39:62">
      <c r="AM360">
        <v>66.86</v>
      </c>
      <c r="AN360">
        <f t="shared" si="97"/>
        <v>0</v>
      </c>
      <c r="AO360">
        <f t="shared" si="104"/>
        <v>0</v>
      </c>
      <c r="AP360">
        <f t="shared" si="105"/>
        <v>0</v>
      </c>
      <c r="AQ360">
        <f t="shared" si="109"/>
        <v>0</v>
      </c>
      <c r="AR360">
        <f t="shared" si="106"/>
        <v>7718359.29251081</v>
      </c>
      <c r="AS360">
        <f t="shared" si="98"/>
        <v>96479.4911563852</v>
      </c>
      <c r="AT360">
        <f t="shared" si="99"/>
        <v>0.0125</v>
      </c>
      <c r="AW360">
        <v>157.87</v>
      </c>
      <c r="AX360">
        <f t="shared" si="92"/>
        <v>0</v>
      </c>
      <c r="AY360">
        <f t="shared" si="100"/>
        <v>0</v>
      </c>
      <c r="AZ360">
        <f t="shared" si="107"/>
        <v>0</v>
      </c>
      <c r="BA360">
        <f t="shared" si="108"/>
        <v>0</v>
      </c>
      <c r="BB360">
        <f t="shared" si="101"/>
        <v>8867861.29797591</v>
      </c>
      <c r="BC360">
        <f t="shared" si="93"/>
        <v>110848.266224699</v>
      </c>
      <c r="BD360">
        <f t="shared" si="94"/>
        <v>0.0125</v>
      </c>
      <c r="BG360">
        <f t="shared" si="102"/>
        <v>0</v>
      </c>
      <c r="BH360">
        <f t="shared" si="103"/>
        <v>7170079.31508434</v>
      </c>
      <c r="BI360">
        <f t="shared" si="95"/>
        <v>89625.9914385543</v>
      </c>
      <c r="BJ360">
        <f t="shared" si="96"/>
        <v>0.0125</v>
      </c>
    </row>
    <row r="361" spans="39:62">
      <c r="AM361">
        <v>67.04</v>
      </c>
      <c r="AN361">
        <f t="shared" si="97"/>
        <v>0</v>
      </c>
      <c r="AO361">
        <f t="shared" si="104"/>
        <v>0</v>
      </c>
      <c r="AP361">
        <f t="shared" si="105"/>
        <v>0</v>
      </c>
      <c r="AQ361">
        <f t="shared" si="109"/>
        <v>0</v>
      </c>
      <c r="AR361">
        <f t="shared" si="106"/>
        <v>7718359.29251081</v>
      </c>
      <c r="AS361">
        <f t="shared" si="98"/>
        <v>96479.4911563852</v>
      </c>
      <c r="AT361">
        <f t="shared" si="99"/>
        <v>0.0125</v>
      </c>
      <c r="AW361">
        <v>158.67</v>
      </c>
      <c r="AX361">
        <f t="shared" si="92"/>
        <v>0</v>
      </c>
      <c r="AY361">
        <f t="shared" si="100"/>
        <v>0</v>
      </c>
      <c r="AZ361">
        <f t="shared" si="107"/>
        <v>0</v>
      </c>
      <c r="BA361">
        <f t="shared" si="108"/>
        <v>0</v>
      </c>
      <c r="BB361">
        <f t="shared" si="101"/>
        <v>8867861.29797591</v>
      </c>
      <c r="BC361">
        <f t="shared" si="93"/>
        <v>110848.266224699</v>
      </c>
      <c r="BD361">
        <f t="shared" si="94"/>
        <v>0.0125</v>
      </c>
      <c r="BG361">
        <f t="shared" si="102"/>
        <v>0</v>
      </c>
      <c r="BH361">
        <f t="shared" si="103"/>
        <v>7170079.31508434</v>
      </c>
      <c r="BI361">
        <f t="shared" si="95"/>
        <v>89625.9914385543</v>
      </c>
      <c r="BJ361">
        <f t="shared" si="96"/>
        <v>0.0125</v>
      </c>
    </row>
    <row r="362" spans="39:62">
      <c r="AM362">
        <v>66.785</v>
      </c>
      <c r="AN362">
        <f t="shared" si="97"/>
        <v>0</v>
      </c>
      <c r="AO362">
        <f t="shared" si="104"/>
        <v>0</v>
      </c>
      <c r="AP362">
        <f t="shared" si="105"/>
        <v>0</v>
      </c>
      <c r="AQ362">
        <f t="shared" si="109"/>
        <v>0</v>
      </c>
      <c r="AR362">
        <f t="shared" si="106"/>
        <v>7718359.29251081</v>
      </c>
      <c r="AS362">
        <f t="shared" si="98"/>
        <v>96479.4911563852</v>
      </c>
      <c r="AT362">
        <f t="shared" si="99"/>
        <v>0.0125</v>
      </c>
      <c r="AW362">
        <v>159.24</v>
      </c>
      <c r="AX362">
        <f t="shared" si="92"/>
        <v>0</v>
      </c>
      <c r="AY362">
        <f t="shared" si="100"/>
        <v>0</v>
      </c>
      <c r="AZ362">
        <f t="shared" si="107"/>
        <v>0</v>
      </c>
      <c r="BA362">
        <f t="shared" si="108"/>
        <v>0</v>
      </c>
      <c r="BB362">
        <f t="shared" si="101"/>
        <v>8867861.29797591</v>
      </c>
      <c r="BC362">
        <f t="shared" si="93"/>
        <v>110848.266224699</v>
      </c>
      <c r="BD362">
        <f t="shared" si="94"/>
        <v>0.0125</v>
      </c>
      <c r="BG362">
        <f t="shared" si="102"/>
        <v>0</v>
      </c>
      <c r="BH362">
        <f t="shared" si="103"/>
        <v>7170079.31508434</v>
      </c>
      <c r="BI362">
        <f t="shared" si="95"/>
        <v>89625.9914385543</v>
      </c>
      <c r="BJ362">
        <f t="shared" si="96"/>
        <v>0.0125</v>
      </c>
    </row>
    <row r="363" spans="39:62">
      <c r="AM363">
        <v>66.71</v>
      </c>
      <c r="AN363">
        <f t="shared" si="97"/>
        <v>0</v>
      </c>
      <c r="AO363">
        <f t="shared" si="104"/>
        <v>0</v>
      </c>
      <c r="AP363">
        <f t="shared" si="105"/>
        <v>0</v>
      </c>
      <c r="AQ363">
        <f t="shared" si="109"/>
        <v>0</v>
      </c>
      <c r="AR363">
        <f t="shared" si="106"/>
        <v>7718359.29251081</v>
      </c>
      <c r="AS363">
        <f t="shared" si="98"/>
        <v>96479.4911563852</v>
      </c>
      <c r="AT363">
        <f t="shared" si="99"/>
        <v>0.0125</v>
      </c>
      <c r="AW363">
        <v>158.9</v>
      </c>
      <c r="AX363">
        <f t="shared" si="92"/>
        <v>0</v>
      </c>
      <c r="AY363">
        <f t="shared" si="100"/>
        <v>0</v>
      </c>
      <c r="AZ363">
        <f t="shared" si="107"/>
        <v>0</v>
      </c>
      <c r="BA363">
        <f t="shared" si="108"/>
        <v>0</v>
      </c>
      <c r="BB363">
        <f t="shared" si="101"/>
        <v>8867861.29797591</v>
      </c>
      <c r="BC363">
        <f t="shared" si="93"/>
        <v>110848.266224699</v>
      </c>
      <c r="BD363">
        <f t="shared" si="94"/>
        <v>0.0125</v>
      </c>
      <c r="BG363">
        <f t="shared" si="102"/>
        <v>0</v>
      </c>
      <c r="BH363">
        <f t="shared" si="103"/>
        <v>7170079.31508434</v>
      </c>
      <c r="BI363">
        <f t="shared" si="95"/>
        <v>89625.9914385543</v>
      </c>
      <c r="BJ363">
        <f t="shared" si="96"/>
        <v>0.0125</v>
      </c>
    </row>
    <row r="364" spans="39:62">
      <c r="AM364">
        <v>66.19</v>
      </c>
      <c r="AN364">
        <f t="shared" si="97"/>
        <v>0</v>
      </c>
      <c r="AO364">
        <f t="shared" si="104"/>
        <v>0</v>
      </c>
      <c r="AP364">
        <f t="shared" si="105"/>
        <v>0</v>
      </c>
      <c r="AQ364">
        <f t="shared" si="109"/>
        <v>0</v>
      </c>
      <c r="AR364">
        <f t="shared" si="106"/>
        <v>7718359.29251081</v>
      </c>
      <c r="AS364">
        <f t="shared" si="98"/>
        <v>96479.4911563852</v>
      </c>
      <c r="AT364">
        <f t="shared" si="99"/>
        <v>0.0125</v>
      </c>
      <c r="AW364">
        <v>159.76</v>
      </c>
      <c r="AX364">
        <f t="shared" si="92"/>
        <v>0</v>
      </c>
      <c r="AY364">
        <f t="shared" si="100"/>
        <v>0</v>
      </c>
      <c r="AZ364">
        <f t="shared" si="107"/>
        <v>0</v>
      </c>
      <c r="BA364">
        <f t="shared" si="108"/>
        <v>0</v>
      </c>
      <c r="BB364">
        <f t="shared" si="101"/>
        <v>8867861.29797591</v>
      </c>
      <c r="BC364">
        <f t="shared" si="93"/>
        <v>110848.266224699</v>
      </c>
      <c r="BD364">
        <f t="shared" si="94"/>
        <v>0.0125</v>
      </c>
      <c r="BG364">
        <f t="shared" si="102"/>
        <v>0</v>
      </c>
      <c r="BH364">
        <f t="shared" si="103"/>
        <v>7170079.31508434</v>
      </c>
      <c r="BI364">
        <f t="shared" si="95"/>
        <v>89625.9914385543</v>
      </c>
      <c r="BJ364">
        <f t="shared" si="96"/>
        <v>0.0125</v>
      </c>
    </row>
    <row r="365" spans="39:62">
      <c r="AM365">
        <v>66.05</v>
      </c>
      <c r="AN365">
        <f t="shared" si="97"/>
        <v>0</v>
      </c>
      <c r="AO365">
        <f t="shared" si="104"/>
        <v>0</v>
      </c>
      <c r="AP365">
        <f t="shared" si="105"/>
        <v>0</v>
      </c>
      <c r="AQ365">
        <f t="shared" si="109"/>
        <v>0</v>
      </c>
      <c r="AR365">
        <f t="shared" si="106"/>
        <v>7718359.29251081</v>
      </c>
      <c r="AS365">
        <f t="shared" si="98"/>
        <v>96479.4911563852</v>
      </c>
      <c r="AT365">
        <f t="shared" si="99"/>
        <v>0.0125</v>
      </c>
      <c r="AW365">
        <v>160.22</v>
      </c>
      <c r="AX365">
        <f t="shared" si="92"/>
        <v>0</v>
      </c>
      <c r="AY365">
        <f t="shared" si="100"/>
        <v>0</v>
      </c>
      <c r="AZ365">
        <f t="shared" si="107"/>
        <v>0</v>
      </c>
      <c r="BA365">
        <f t="shared" si="108"/>
        <v>0</v>
      </c>
      <c r="BB365">
        <f t="shared" si="101"/>
        <v>8867861.29797591</v>
      </c>
      <c r="BC365">
        <f t="shared" si="93"/>
        <v>110848.266224699</v>
      </c>
      <c r="BD365">
        <f t="shared" si="94"/>
        <v>0.0125</v>
      </c>
      <c r="BG365">
        <f t="shared" si="102"/>
        <v>0</v>
      </c>
      <c r="BH365">
        <f t="shared" si="103"/>
        <v>7170079.31508434</v>
      </c>
      <c r="BI365">
        <f t="shared" si="95"/>
        <v>89625.9914385543</v>
      </c>
      <c r="BJ365">
        <f t="shared" si="96"/>
        <v>0.0125</v>
      </c>
    </row>
    <row r="366" spans="39:62">
      <c r="AM366">
        <v>66.05</v>
      </c>
      <c r="AN366">
        <f t="shared" si="97"/>
        <v>0</v>
      </c>
      <c r="AO366">
        <f t="shared" si="104"/>
        <v>0</v>
      </c>
      <c r="AP366">
        <f t="shared" si="105"/>
        <v>0</v>
      </c>
      <c r="AQ366">
        <f t="shared" si="109"/>
        <v>0</v>
      </c>
      <c r="AR366">
        <f t="shared" si="106"/>
        <v>7718359.29251081</v>
      </c>
      <c r="AS366">
        <f t="shared" si="98"/>
        <v>96479.4911563852</v>
      </c>
      <c r="AT366">
        <f t="shared" si="99"/>
        <v>0.0125</v>
      </c>
      <c r="AW366">
        <v>161.02</v>
      </c>
      <c r="AX366">
        <f t="shared" si="92"/>
        <v>0</v>
      </c>
      <c r="AY366">
        <f t="shared" si="100"/>
        <v>0</v>
      </c>
      <c r="AZ366">
        <f t="shared" si="107"/>
        <v>0</v>
      </c>
      <c r="BA366">
        <f t="shared" si="108"/>
        <v>0</v>
      </c>
      <c r="BB366">
        <f t="shared" si="101"/>
        <v>8867861.29797591</v>
      </c>
      <c r="BC366">
        <f t="shared" si="93"/>
        <v>110848.266224699</v>
      </c>
      <c r="BD366">
        <f t="shared" si="94"/>
        <v>0.0125</v>
      </c>
      <c r="BG366">
        <f t="shared" si="102"/>
        <v>0</v>
      </c>
      <c r="BH366">
        <f t="shared" si="103"/>
        <v>7170079.31508434</v>
      </c>
      <c r="BI366">
        <f t="shared" si="95"/>
        <v>89625.9914385543</v>
      </c>
      <c r="BJ366">
        <f t="shared" si="96"/>
        <v>0.0125</v>
      </c>
    </row>
    <row r="367" spans="39:62">
      <c r="AM367">
        <v>66.34</v>
      </c>
      <c r="AN367">
        <f t="shared" si="97"/>
        <v>0</v>
      </c>
      <c r="AO367">
        <f t="shared" si="104"/>
        <v>0</v>
      </c>
      <c r="AP367">
        <f t="shared" si="105"/>
        <v>0</v>
      </c>
      <c r="AQ367">
        <f t="shared" si="109"/>
        <v>0</v>
      </c>
      <c r="AR367">
        <f t="shared" si="106"/>
        <v>7718359.29251081</v>
      </c>
      <c r="AS367">
        <f t="shared" si="98"/>
        <v>96479.4911563852</v>
      </c>
      <c r="AT367">
        <f t="shared" si="99"/>
        <v>0.0125</v>
      </c>
      <c r="AW367">
        <v>161.93</v>
      </c>
      <c r="AX367">
        <f t="shared" si="92"/>
        <v>0</v>
      </c>
      <c r="AY367">
        <f t="shared" si="100"/>
        <v>0</v>
      </c>
      <c r="AZ367">
        <f t="shared" si="107"/>
        <v>0</v>
      </c>
      <c r="BA367">
        <f t="shared" si="108"/>
        <v>0</v>
      </c>
      <c r="BB367">
        <f t="shared" si="101"/>
        <v>8867861.29797591</v>
      </c>
      <c r="BC367">
        <f t="shared" si="93"/>
        <v>110848.266224699</v>
      </c>
      <c r="BD367">
        <f t="shared" si="94"/>
        <v>0.0125</v>
      </c>
      <c r="BG367">
        <f t="shared" si="102"/>
        <v>0</v>
      </c>
      <c r="BH367">
        <f t="shared" si="103"/>
        <v>7170079.31508434</v>
      </c>
      <c r="BI367">
        <f t="shared" si="95"/>
        <v>89625.9914385543</v>
      </c>
      <c r="BJ367">
        <f t="shared" si="96"/>
        <v>0.0125</v>
      </c>
    </row>
    <row r="368" spans="39:62">
      <c r="AM368">
        <v>66.525</v>
      </c>
      <c r="AN368">
        <f t="shared" si="97"/>
        <v>0</v>
      </c>
      <c r="AO368">
        <f t="shared" si="104"/>
        <v>0</v>
      </c>
      <c r="AP368">
        <f t="shared" si="105"/>
        <v>0</v>
      </c>
      <c r="AQ368">
        <f t="shared" si="109"/>
        <v>0</v>
      </c>
      <c r="AR368">
        <f t="shared" si="106"/>
        <v>7718359.29251081</v>
      </c>
      <c r="AS368">
        <f t="shared" si="98"/>
        <v>96479.4911563852</v>
      </c>
      <c r="AT368">
        <f t="shared" si="99"/>
        <v>0.0125</v>
      </c>
      <c r="AW368">
        <v>162.8</v>
      </c>
      <c r="AX368">
        <f t="shared" si="92"/>
        <v>0</v>
      </c>
      <c r="AY368">
        <f t="shared" si="100"/>
        <v>0</v>
      </c>
      <c r="AZ368">
        <f t="shared" si="107"/>
        <v>0</v>
      </c>
      <c r="BA368">
        <f t="shared" si="108"/>
        <v>0</v>
      </c>
      <c r="BB368">
        <f t="shared" si="101"/>
        <v>8867861.29797591</v>
      </c>
      <c r="BC368">
        <f t="shared" si="93"/>
        <v>110848.266224699</v>
      </c>
      <c r="BD368">
        <f t="shared" si="94"/>
        <v>0.0125</v>
      </c>
      <c r="BG368">
        <f t="shared" si="102"/>
        <v>0</v>
      </c>
      <c r="BH368">
        <f t="shared" si="103"/>
        <v>7170079.31508434</v>
      </c>
      <c r="BI368">
        <f t="shared" si="95"/>
        <v>89625.9914385543</v>
      </c>
      <c r="BJ368">
        <f t="shared" si="96"/>
        <v>0.0125</v>
      </c>
    </row>
    <row r="369" spans="39:62">
      <c r="AM369">
        <v>66.2</v>
      </c>
      <c r="AN369">
        <f t="shared" si="97"/>
        <v>0</v>
      </c>
      <c r="AO369">
        <f t="shared" si="104"/>
        <v>0</v>
      </c>
      <c r="AP369">
        <f t="shared" si="105"/>
        <v>0</v>
      </c>
      <c r="AQ369">
        <f t="shared" si="109"/>
        <v>0</v>
      </c>
      <c r="AR369">
        <f t="shared" si="106"/>
        <v>7718359.29251081</v>
      </c>
      <c r="AS369">
        <f t="shared" si="98"/>
        <v>96479.4911563852</v>
      </c>
      <c r="AT369">
        <f t="shared" si="99"/>
        <v>0.0125</v>
      </c>
      <c r="AW369">
        <v>162.02</v>
      </c>
      <c r="AX369">
        <f t="shared" si="92"/>
        <v>0</v>
      </c>
      <c r="AY369">
        <f t="shared" si="100"/>
        <v>0</v>
      </c>
      <c r="AZ369">
        <f t="shared" si="107"/>
        <v>0</v>
      </c>
      <c r="BA369">
        <f t="shared" si="108"/>
        <v>0</v>
      </c>
      <c r="BB369">
        <f t="shared" si="101"/>
        <v>8867861.29797591</v>
      </c>
      <c r="BC369">
        <f t="shared" si="93"/>
        <v>110848.266224699</v>
      </c>
      <c r="BD369">
        <f t="shared" si="94"/>
        <v>0.0125</v>
      </c>
      <c r="BG369">
        <f t="shared" si="102"/>
        <v>0</v>
      </c>
      <c r="BH369">
        <f t="shared" si="103"/>
        <v>7170079.31508434</v>
      </c>
      <c r="BI369">
        <f t="shared" si="95"/>
        <v>89625.9914385543</v>
      </c>
      <c r="BJ369">
        <f t="shared" si="96"/>
        <v>0.0125</v>
      </c>
    </row>
    <row r="370" spans="39:62">
      <c r="AM370">
        <v>66.42</v>
      </c>
      <c r="AN370">
        <f t="shared" si="97"/>
        <v>0</v>
      </c>
      <c r="AO370">
        <f t="shared" si="104"/>
        <v>0</v>
      </c>
      <c r="AP370">
        <f t="shared" si="105"/>
        <v>0</v>
      </c>
      <c r="AQ370">
        <f t="shared" si="109"/>
        <v>0</v>
      </c>
      <c r="AR370">
        <f t="shared" si="106"/>
        <v>7718359.29251081</v>
      </c>
      <c r="AS370">
        <f t="shared" si="98"/>
        <v>96479.4911563852</v>
      </c>
      <c r="AT370">
        <f t="shared" si="99"/>
        <v>0.0125</v>
      </c>
      <c r="AW370">
        <v>162.14</v>
      </c>
      <c r="AX370">
        <f t="shared" si="92"/>
        <v>0</v>
      </c>
      <c r="AY370">
        <f t="shared" si="100"/>
        <v>0</v>
      </c>
      <c r="AZ370">
        <f t="shared" si="107"/>
        <v>0</v>
      </c>
      <c r="BA370">
        <f t="shared" si="108"/>
        <v>0</v>
      </c>
      <c r="BB370">
        <f t="shared" si="101"/>
        <v>8867861.29797591</v>
      </c>
      <c r="BC370">
        <f t="shared" si="93"/>
        <v>110848.266224699</v>
      </c>
      <c r="BD370">
        <f t="shared" si="94"/>
        <v>0.0125</v>
      </c>
      <c r="BG370">
        <f t="shared" si="102"/>
        <v>0</v>
      </c>
      <c r="BH370">
        <f t="shared" si="103"/>
        <v>7170079.31508434</v>
      </c>
      <c r="BI370">
        <f t="shared" si="95"/>
        <v>89625.9914385543</v>
      </c>
      <c r="BJ370">
        <f t="shared" si="96"/>
        <v>0.0125</v>
      </c>
    </row>
    <row r="371" spans="39:62">
      <c r="AM371">
        <v>66.465</v>
      </c>
      <c r="AN371">
        <f t="shared" si="97"/>
        <v>0</v>
      </c>
      <c r="AO371">
        <f t="shared" si="104"/>
        <v>0</v>
      </c>
      <c r="AP371">
        <f t="shared" si="105"/>
        <v>0</v>
      </c>
      <c r="AQ371">
        <f t="shared" si="109"/>
        <v>0</v>
      </c>
      <c r="AR371">
        <f t="shared" si="106"/>
        <v>7718359.29251081</v>
      </c>
      <c r="AS371">
        <f t="shared" si="98"/>
        <v>96479.4911563852</v>
      </c>
      <c r="AT371">
        <f t="shared" si="99"/>
        <v>0.0125</v>
      </c>
      <c r="AW371">
        <v>161.46</v>
      </c>
      <c r="AX371">
        <f t="shared" si="92"/>
        <v>0</v>
      </c>
      <c r="AY371">
        <f t="shared" si="100"/>
        <v>0</v>
      </c>
      <c r="AZ371">
        <f t="shared" si="107"/>
        <v>0</v>
      </c>
      <c r="BA371">
        <f t="shared" si="108"/>
        <v>0</v>
      </c>
      <c r="BB371">
        <f t="shared" si="101"/>
        <v>8867861.29797591</v>
      </c>
      <c r="BC371">
        <f t="shared" si="93"/>
        <v>110848.266224699</v>
      </c>
      <c r="BD371">
        <f t="shared" si="94"/>
        <v>0.0125</v>
      </c>
      <c r="BG371">
        <f t="shared" si="102"/>
        <v>0</v>
      </c>
      <c r="BH371">
        <f t="shared" si="103"/>
        <v>7170079.31508434</v>
      </c>
      <c r="BI371">
        <f t="shared" si="95"/>
        <v>89625.9914385543</v>
      </c>
      <c r="BJ371">
        <f t="shared" si="96"/>
        <v>0.0125</v>
      </c>
    </row>
    <row r="372" spans="39:62">
      <c r="AM372">
        <v>66.78</v>
      </c>
      <c r="AN372">
        <f t="shared" si="97"/>
        <v>0</v>
      </c>
      <c r="AO372">
        <f t="shared" si="104"/>
        <v>0</v>
      </c>
      <c r="AP372">
        <f t="shared" si="105"/>
        <v>0</v>
      </c>
      <c r="AQ372">
        <f t="shared" si="109"/>
        <v>0</v>
      </c>
      <c r="AR372">
        <f t="shared" si="106"/>
        <v>7718359.29251081</v>
      </c>
      <c r="AS372">
        <f t="shared" si="98"/>
        <v>96479.4911563852</v>
      </c>
      <c r="AT372">
        <f t="shared" si="99"/>
        <v>0.0125</v>
      </c>
      <c r="AW372">
        <v>160.81</v>
      </c>
      <c r="AX372">
        <f t="shared" si="92"/>
        <v>0</v>
      </c>
      <c r="AY372">
        <f t="shared" si="100"/>
        <v>0</v>
      </c>
      <c r="AZ372">
        <f t="shared" si="107"/>
        <v>0</v>
      </c>
      <c r="BA372">
        <f t="shared" si="108"/>
        <v>0</v>
      </c>
      <c r="BB372">
        <f t="shared" si="101"/>
        <v>8867861.29797591</v>
      </c>
      <c r="BC372">
        <f t="shared" si="93"/>
        <v>110848.266224699</v>
      </c>
      <c r="BD372">
        <f t="shared" si="94"/>
        <v>0.0125</v>
      </c>
      <c r="BG372">
        <f t="shared" si="102"/>
        <v>0</v>
      </c>
      <c r="BH372">
        <f t="shared" si="103"/>
        <v>7170079.31508434</v>
      </c>
      <c r="BI372">
        <f t="shared" si="95"/>
        <v>89625.9914385543</v>
      </c>
      <c r="BJ372">
        <f t="shared" si="96"/>
        <v>0.0125</v>
      </c>
    </row>
    <row r="373" spans="39:62">
      <c r="AM373">
        <v>66.54</v>
      </c>
      <c r="AN373">
        <f t="shared" si="97"/>
        <v>0</v>
      </c>
      <c r="AO373">
        <f t="shared" si="104"/>
        <v>0</v>
      </c>
      <c r="AP373">
        <f t="shared" si="105"/>
        <v>0</v>
      </c>
      <c r="AQ373">
        <f t="shared" si="109"/>
        <v>0</v>
      </c>
      <c r="AR373">
        <f t="shared" si="106"/>
        <v>7718359.29251081</v>
      </c>
      <c r="AS373">
        <f t="shared" si="98"/>
        <v>96479.4911563852</v>
      </c>
      <c r="AT373">
        <f t="shared" si="99"/>
        <v>0.0125</v>
      </c>
      <c r="AW373">
        <v>161.45</v>
      </c>
      <c r="AX373">
        <f t="shared" si="92"/>
        <v>0</v>
      </c>
      <c r="AY373">
        <f t="shared" si="100"/>
        <v>0</v>
      </c>
      <c r="AZ373">
        <f t="shared" si="107"/>
        <v>0</v>
      </c>
      <c r="BA373">
        <f t="shared" si="108"/>
        <v>0</v>
      </c>
      <c r="BB373">
        <f t="shared" si="101"/>
        <v>8867861.29797591</v>
      </c>
      <c r="BC373">
        <f t="shared" si="93"/>
        <v>110848.266224699</v>
      </c>
      <c r="BD373">
        <f t="shared" si="94"/>
        <v>0.0125</v>
      </c>
      <c r="BG373">
        <f t="shared" si="102"/>
        <v>0</v>
      </c>
      <c r="BH373">
        <f t="shared" si="103"/>
        <v>7170079.31508434</v>
      </c>
      <c r="BI373">
        <f t="shared" si="95"/>
        <v>89625.9914385543</v>
      </c>
      <c r="BJ373">
        <f t="shared" si="96"/>
        <v>0.0125</v>
      </c>
    </row>
    <row r="374" spans="39:62">
      <c r="AM374">
        <v>66.545</v>
      </c>
      <c r="AN374">
        <f t="shared" si="97"/>
        <v>0</v>
      </c>
      <c r="AO374">
        <f t="shared" si="104"/>
        <v>0</v>
      </c>
      <c r="AP374">
        <f t="shared" si="105"/>
        <v>0</v>
      </c>
      <c r="AQ374">
        <f t="shared" si="109"/>
        <v>0</v>
      </c>
      <c r="AR374">
        <f t="shared" si="106"/>
        <v>7718359.29251081</v>
      </c>
      <c r="AS374">
        <f t="shared" si="98"/>
        <v>96479.4911563852</v>
      </c>
      <c r="AT374">
        <f t="shared" si="99"/>
        <v>0.0125</v>
      </c>
      <c r="AW374">
        <v>160.16</v>
      </c>
      <c r="AX374">
        <f t="shared" si="92"/>
        <v>0</v>
      </c>
      <c r="AY374">
        <f t="shared" si="100"/>
        <v>0</v>
      </c>
      <c r="AZ374">
        <f t="shared" si="107"/>
        <v>0</v>
      </c>
      <c r="BA374">
        <f t="shared" si="108"/>
        <v>0</v>
      </c>
      <c r="BB374">
        <f t="shared" si="101"/>
        <v>8867861.29797591</v>
      </c>
      <c r="BC374">
        <f t="shared" si="93"/>
        <v>110848.266224699</v>
      </c>
      <c r="BD374">
        <f t="shared" si="94"/>
        <v>0.0125</v>
      </c>
      <c r="BG374">
        <f t="shared" si="102"/>
        <v>0</v>
      </c>
      <c r="BH374">
        <f t="shared" si="103"/>
        <v>7170079.31508434</v>
      </c>
      <c r="BI374">
        <f t="shared" si="95"/>
        <v>89625.9914385543</v>
      </c>
      <c r="BJ374">
        <f t="shared" si="96"/>
        <v>0.0125</v>
      </c>
    </row>
    <row r="375" spans="39:62">
      <c r="AM375">
        <v>66.74</v>
      </c>
      <c r="AN375">
        <f t="shared" si="97"/>
        <v>0</v>
      </c>
      <c r="AO375">
        <f t="shared" si="104"/>
        <v>0</v>
      </c>
      <c r="AP375">
        <f t="shared" si="105"/>
        <v>0</v>
      </c>
      <c r="AQ375">
        <f t="shared" si="109"/>
        <v>0</v>
      </c>
      <c r="AR375">
        <f t="shared" si="106"/>
        <v>7718359.29251081</v>
      </c>
      <c r="AS375">
        <f t="shared" si="98"/>
        <v>96479.4911563852</v>
      </c>
      <c r="AT375">
        <f t="shared" si="99"/>
        <v>0.0125</v>
      </c>
      <c r="AW375">
        <v>159.64</v>
      </c>
      <c r="AX375">
        <f t="shared" si="92"/>
        <v>0</v>
      </c>
      <c r="AY375">
        <f t="shared" si="100"/>
        <v>0</v>
      </c>
      <c r="AZ375">
        <f t="shared" si="107"/>
        <v>0</v>
      </c>
      <c r="BA375">
        <f t="shared" si="108"/>
        <v>0</v>
      </c>
      <c r="BB375">
        <f t="shared" si="101"/>
        <v>8867861.29797591</v>
      </c>
      <c r="BC375">
        <f t="shared" si="93"/>
        <v>110848.266224699</v>
      </c>
      <c r="BD375">
        <f t="shared" si="94"/>
        <v>0.0125</v>
      </c>
      <c r="BG375">
        <f t="shared" si="102"/>
        <v>0</v>
      </c>
      <c r="BH375">
        <f t="shared" si="103"/>
        <v>7170079.31508434</v>
      </c>
      <c r="BI375">
        <f t="shared" si="95"/>
        <v>89625.9914385543</v>
      </c>
      <c r="BJ375">
        <f t="shared" si="96"/>
        <v>0.0125</v>
      </c>
    </row>
    <row r="376" spans="39:62">
      <c r="AM376">
        <v>65.885</v>
      </c>
      <c r="AN376">
        <f t="shared" si="97"/>
        <v>0</v>
      </c>
      <c r="AO376">
        <f t="shared" si="104"/>
        <v>0</v>
      </c>
      <c r="AP376">
        <f t="shared" si="105"/>
        <v>0</v>
      </c>
      <c r="AQ376">
        <f t="shared" si="109"/>
        <v>0</v>
      </c>
      <c r="AR376">
        <f t="shared" si="106"/>
        <v>7718359.29251081</v>
      </c>
      <c r="AS376">
        <f t="shared" si="98"/>
        <v>96479.4911563852</v>
      </c>
      <c r="AT376">
        <f t="shared" si="99"/>
        <v>0.0125</v>
      </c>
      <c r="AW376">
        <v>160.4</v>
      </c>
      <c r="AX376">
        <f t="shared" si="92"/>
        <v>0</v>
      </c>
      <c r="AY376">
        <f t="shared" si="100"/>
        <v>0</v>
      </c>
      <c r="AZ376">
        <f t="shared" si="107"/>
        <v>0</v>
      </c>
      <c r="BA376">
        <f t="shared" si="108"/>
        <v>0</v>
      </c>
      <c r="BB376">
        <f t="shared" si="101"/>
        <v>8867861.29797591</v>
      </c>
      <c r="BC376">
        <f t="shared" si="93"/>
        <v>110848.266224699</v>
      </c>
      <c r="BD376">
        <f t="shared" si="94"/>
        <v>0.0125</v>
      </c>
      <c r="BG376">
        <f t="shared" si="102"/>
        <v>0</v>
      </c>
      <c r="BH376">
        <f t="shared" si="103"/>
        <v>7170079.31508434</v>
      </c>
      <c r="BI376">
        <f t="shared" si="95"/>
        <v>89625.9914385543</v>
      </c>
      <c r="BJ376">
        <f t="shared" si="96"/>
        <v>0.0125</v>
      </c>
    </row>
    <row r="377" spans="39:62">
      <c r="AM377">
        <v>66.08</v>
      </c>
      <c r="AN377">
        <f t="shared" si="97"/>
        <v>0</v>
      </c>
      <c r="AO377">
        <f t="shared" si="104"/>
        <v>0</v>
      </c>
      <c r="AP377">
        <f t="shared" si="105"/>
        <v>0</v>
      </c>
      <c r="AQ377">
        <f t="shared" si="109"/>
        <v>0</v>
      </c>
      <c r="AR377">
        <f t="shared" si="106"/>
        <v>7718359.29251081</v>
      </c>
      <c r="AS377">
        <f t="shared" si="98"/>
        <v>96479.4911563852</v>
      </c>
      <c r="AT377">
        <f t="shared" si="99"/>
        <v>0.0125</v>
      </c>
      <c r="AW377">
        <v>159.74</v>
      </c>
      <c r="AX377">
        <f t="shared" si="92"/>
        <v>0</v>
      </c>
      <c r="AY377">
        <f t="shared" si="100"/>
        <v>0</v>
      </c>
      <c r="AZ377">
        <f t="shared" si="107"/>
        <v>0</v>
      </c>
      <c r="BA377">
        <f t="shared" si="108"/>
        <v>0</v>
      </c>
      <c r="BB377">
        <f t="shared" si="101"/>
        <v>8867861.29797591</v>
      </c>
      <c r="BC377">
        <f t="shared" si="93"/>
        <v>110848.266224699</v>
      </c>
      <c r="BD377">
        <f t="shared" si="94"/>
        <v>0.0125</v>
      </c>
      <c r="BG377">
        <f t="shared" si="102"/>
        <v>0</v>
      </c>
      <c r="BH377">
        <f t="shared" si="103"/>
        <v>7170079.31508434</v>
      </c>
      <c r="BI377">
        <f t="shared" si="95"/>
        <v>89625.9914385543</v>
      </c>
      <c r="BJ377">
        <f t="shared" si="96"/>
        <v>0.0125</v>
      </c>
    </row>
    <row r="378" spans="39:62">
      <c r="AM378">
        <v>66.125</v>
      </c>
      <c r="AN378">
        <f t="shared" si="97"/>
        <v>0</v>
      </c>
      <c r="AO378">
        <f t="shared" si="104"/>
        <v>0</v>
      </c>
      <c r="AP378">
        <f t="shared" si="105"/>
        <v>0</v>
      </c>
      <c r="AQ378">
        <f t="shared" si="109"/>
        <v>0</v>
      </c>
      <c r="AR378">
        <f t="shared" si="106"/>
        <v>7718359.29251081</v>
      </c>
      <c r="AS378">
        <f t="shared" si="98"/>
        <v>96479.4911563852</v>
      </c>
      <c r="AT378">
        <f t="shared" si="99"/>
        <v>0.0125</v>
      </c>
      <c r="AW378">
        <v>159.85</v>
      </c>
      <c r="AX378">
        <f t="shared" si="92"/>
        <v>0</v>
      </c>
      <c r="AY378">
        <f t="shared" si="100"/>
        <v>0</v>
      </c>
      <c r="AZ378">
        <f t="shared" si="107"/>
        <v>0</v>
      </c>
      <c r="BA378">
        <f t="shared" si="108"/>
        <v>0</v>
      </c>
      <c r="BB378">
        <f t="shared" si="101"/>
        <v>8867861.29797591</v>
      </c>
      <c r="BC378">
        <f t="shared" si="93"/>
        <v>110848.266224699</v>
      </c>
      <c r="BD378">
        <f t="shared" si="94"/>
        <v>0.0125</v>
      </c>
      <c r="BG378">
        <f t="shared" si="102"/>
        <v>0</v>
      </c>
      <c r="BH378">
        <f t="shared" si="103"/>
        <v>7170079.31508434</v>
      </c>
      <c r="BI378">
        <f t="shared" si="95"/>
        <v>89625.9914385543</v>
      </c>
      <c r="BJ378">
        <f t="shared" si="96"/>
        <v>0.0125</v>
      </c>
    </row>
    <row r="379" spans="39:62">
      <c r="AM379">
        <v>66.935</v>
      </c>
      <c r="AN379">
        <f t="shared" si="97"/>
        <v>0</v>
      </c>
      <c r="AO379">
        <f t="shared" si="104"/>
        <v>0</v>
      </c>
      <c r="AP379">
        <f t="shared" si="105"/>
        <v>0</v>
      </c>
      <c r="AQ379">
        <f t="shared" si="109"/>
        <v>0</v>
      </c>
      <c r="AR379">
        <f t="shared" si="106"/>
        <v>7718359.29251081</v>
      </c>
      <c r="AS379">
        <f t="shared" si="98"/>
        <v>96479.4911563852</v>
      </c>
      <c r="AT379">
        <f t="shared" si="99"/>
        <v>0.0125</v>
      </c>
      <c r="AW379">
        <v>160.07</v>
      </c>
      <c r="AX379">
        <f t="shared" si="92"/>
        <v>0</v>
      </c>
      <c r="AY379">
        <f t="shared" si="100"/>
        <v>0</v>
      </c>
      <c r="AZ379">
        <f t="shared" si="107"/>
        <v>0</v>
      </c>
      <c r="BA379">
        <f t="shared" si="108"/>
        <v>0</v>
      </c>
      <c r="BB379">
        <f t="shared" si="101"/>
        <v>8867861.29797591</v>
      </c>
      <c r="BC379">
        <f t="shared" si="93"/>
        <v>110848.266224699</v>
      </c>
      <c r="BD379">
        <f t="shared" si="94"/>
        <v>0.0125</v>
      </c>
      <c r="BG379">
        <f t="shared" si="102"/>
        <v>0</v>
      </c>
      <c r="BH379">
        <f t="shared" si="103"/>
        <v>7170079.31508434</v>
      </c>
      <c r="BI379">
        <f t="shared" si="95"/>
        <v>89625.9914385543</v>
      </c>
      <c r="BJ379">
        <f t="shared" si="96"/>
        <v>0.0125</v>
      </c>
    </row>
    <row r="380" spans="39:62">
      <c r="AM380">
        <v>66.555</v>
      </c>
      <c r="AN380">
        <f t="shared" si="97"/>
        <v>0</v>
      </c>
      <c r="AO380">
        <f t="shared" si="104"/>
        <v>0</v>
      </c>
      <c r="AP380">
        <f t="shared" si="105"/>
        <v>0</v>
      </c>
      <c r="AQ380">
        <f t="shared" si="109"/>
        <v>0</v>
      </c>
      <c r="AR380">
        <f t="shared" si="106"/>
        <v>7718359.29251081</v>
      </c>
      <c r="AS380">
        <f t="shared" si="98"/>
        <v>96479.4911563852</v>
      </c>
      <c r="AT380">
        <f t="shared" si="99"/>
        <v>0.0125</v>
      </c>
      <c r="AW380">
        <v>160.71</v>
      </c>
      <c r="AX380">
        <f t="shared" si="92"/>
        <v>0</v>
      </c>
      <c r="AY380">
        <f t="shared" si="100"/>
        <v>0</v>
      </c>
      <c r="AZ380">
        <f t="shared" si="107"/>
        <v>0</v>
      </c>
      <c r="BA380">
        <f t="shared" si="108"/>
        <v>0</v>
      </c>
      <c r="BB380">
        <f t="shared" si="101"/>
        <v>8867861.29797591</v>
      </c>
      <c r="BC380">
        <f t="shared" si="93"/>
        <v>110848.266224699</v>
      </c>
      <c r="BD380">
        <f t="shared" si="94"/>
        <v>0.0125</v>
      </c>
      <c r="BG380">
        <f t="shared" si="102"/>
        <v>0</v>
      </c>
      <c r="BH380">
        <f t="shared" si="103"/>
        <v>7170079.31508434</v>
      </c>
      <c r="BI380">
        <f t="shared" si="95"/>
        <v>89625.9914385543</v>
      </c>
      <c r="BJ380">
        <f t="shared" si="96"/>
        <v>0.0125</v>
      </c>
    </row>
    <row r="381" spans="39:62">
      <c r="AM381">
        <v>66.305</v>
      </c>
      <c r="AN381">
        <f t="shared" si="97"/>
        <v>0</v>
      </c>
      <c r="AO381">
        <f t="shared" si="104"/>
        <v>0</v>
      </c>
      <c r="AP381">
        <f t="shared" si="105"/>
        <v>0</v>
      </c>
      <c r="AQ381">
        <f t="shared" si="109"/>
        <v>0</v>
      </c>
      <c r="AR381">
        <f t="shared" si="106"/>
        <v>7718359.29251081</v>
      </c>
      <c r="AS381">
        <f t="shared" si="98"/>
        <v>96479.4911563852</v>
      </c>
      <c r="AT381">
        <f t="shared" si="99"/>
        <v>0.0125</v>
      </c>
      <c r="AW381">
        <v>161.16</v>
      </c>
      <c r="AX381">
        <f t="shared" si="92"/>
        <v>0</v>
      </c>
      <c r="AY381">
        <f t="shared" si="100"/>
        <v>0</v>
      </c>
      <c r="AZ381">
        <f t="shared" si="107"/>
        <v>0</v>
      </c>
      <c r="BA381">
        <f t="shared" si="108"/>
        <v>0</v>
      </c>
      <c r="BB381">
        <f t="shared" si="101"/>
        <v>8867861.29797591</v>
      </c>
      <c r="BC381">
        <f t="shared" si="93"/>
        <v>110848.266224699</v>
      </c>
      <c r="BD381">
        <f t="shared" si="94"/>
        <v>0.0125</v>
      </c>
      <c r="BG381">
        <f t="shared" si="102"/>
        <v>0</v>
      </c>
      <c r="BH381">
        <f t="shared" si="103"/>
        <v>7170079.31508434</v>
      </c>
      <c r="BI381">
        <f t="shared" si="95"/>
        <v>89625.9914385543</v>
      </c>
      <c r="BJ381">
        <f t="shared" si="96"/>
        <v>0.0125</v>
      </c>
    </row>
    <row r="382" spans="39:62">
      <c r="AM382">
        <v>66.315</v>
      </c>
      <c r="AN382">
        <f t="shared" si="97"/>
        <v>0</v>
      </c>
      <c r="AO382">
        <f t="shared" si="104"/>
        <v>0</v>
      </c>
      <c r="AP382">
        <f t="shared" si="105"/>
        <v>0</v>
      </c>
      <c r="AQ382">
        <f t="shared" si="109"/>
        <v>0</v>
      </c>
      <c r="AR382">
        <f t="shared" si="106"/>
        <v>7718359.29251081</v>
      </c>
      <c r="AS382">
        <f t="shared" si="98"/>
        <v>96479.4911563852</v>
      </c>
      <c r="AT382">
        <f t="shared" si="99"/>
        <v>0.0125</v>
      </c>
      <c r="AW382">
        <v>161.15</v>
      </c>
      <c r="AX382">
        <f t="shared" si="92"/>
        <v>0</v>
      </c>
      <c r="AY382">
        <f t="shared" si="100"/>
        <v>0</v>
      </c>
      <c r="AZ382">
        <f t="shared" si="107"/>
        <v>0</v>
      </c>
      <c r="BA382">
        <f t="shared" si="108"/>
        <v>0</v>
      </c>
      <c r="BB382">
        <f t="shared" si="101"/>
        <v>8867861.29797591</v>
      </c>
      <c r="BC382">
        <f t="shared" si="93"/>
        <v>110848.266224699</v>
      </c>
      <c r="BD382">
        <f t="shared" si="94"/>
        <v>0.0125</v>
      </c>
      <c r="BG382">
        <f t="shared" si="102"/>
        <v>0</v>
      </c>
      <c r="BH382">
        <f t="shared" si="103"/>
        <v>7170079.31508434</v>
      </c>
      <c r="BI382">
        <f t="shared" si="95"/>
        <v>89625.9914385543</v>
      </c>
      <c r="BJ382">
        <f t="shared" si="96"/>
        <v>0.0125</v>
      </c>
    </row>
    <row r="383" spans="39:62">
      <c r="AM383">
        <v>65.89</v>
      </c>
      <c r="AN383">
        <f t="shared" si="97"/>
        <v>0</v>
      </c>
      <c r="AO383">
        <f t="shared" si="104"/>
        <v>0</v>
      </c>
      <c r="AP383">
        <f t="shared" si="105"/>
        <v>0</v>
      </c>
      <c r="AQ383">
        <f t="shared" si="109"/>
        <v>0</v>
      </c>
      <c r="AR383">
        <f t="shared" si="106"/>
        <v>7718359.29251081</v>
      </c>
      <c r="AS383">
        <f t="shared" si="98"/>
        <v>96479.4911563852</v>
      </c>
      <c r="AT383">
        <f t="shared" si="99"/>
        <v>0.0125</v>
      </c>
      <c r="AW383">
        <v>161.53</v>
      </c>
      <c r="AX383">
        <f t="shared" si="92"/>
        <v>0</v>
      </c>
      <c r="AY383">
        <f t="shared" si="100"/>
        <v>0</v>
      </c>
      <c r="AZ383">
        <f t="shared" si="107"/>
        <v>0</v>
      </c>
      <c r="BA383">
        <f t="shared" si="108"/>
        <v>0</v>
      </c>
      <c r="BB383">
        <f t="shared" si="101"/>
        <v>8867861.29797591</v>
      </c>
      <c r="BC383">
        <f t="shared" si="93"/>
        <v>110848.266224699</v>
      </c>
      <c r="BD383">
        <f t="shared" si="94"/>
        <v>0.0125</v>
      </c>
      <c r="BG383">
        <f t="shared" si="102"/>
        <v>0</v>
      </c>
      <c r="BH383">
        <f t="shared" si="103"/>
        <v>7170079.31508434</v>
      </c>
      <c r="BI383">
        <f t="shared" si="95"/>
        <v>89625.9914385543</v>
      </c>
      <c r="BJ383">
        <f t="shared" si="96"/>
        <v>0.0125</v>
      </c>
    </row>
    <row r="384" spans="39:62">
      <c r="AM384">
        <v>66.735</v>
      </c>
      <c r="AN384">
        <f t="shared" si="97"/>
        <v>0</v>
      </c>
      <c r="AO384">
        <f t="shared" si="104"/>
        <v>0</v>
      </c>
      <c r="AP384">
        <f t="shared" si="105"/>
        <v>0</v>
      </c>
      <c r="AQ384">
        <f t="shared" si="109"/>
        <v>0</v>
      </c>
      <c r="AR384">
        <f t="shared" si="106"/>
        <v>7718359.29251081</v>
      </c>
      <c r="AS384">
        <f t="shared" si="98"/>
        <v>96479.4911563852</v>
      </c>
      <c r="AT384">
        <f t="shared" si="99"/>
        <v>0.0125</v>
      </c>
      <c r="AW384">
        <v>161.51</v>
      </c>
      <c r="AX384">
        <f t="shared" si="92"/>
        <v>0</v>
      </c>
      <c r="AY384">
        <f t="shared" si="100"/>
        <v>0</v>
      </c>
      <c r="AZ384">
        <f t="shared" si="107"/>
        <v>0</v>
      </c>
      <c r="BA384">
        <f t="shared" si="108"/>
        <v>0</v>
      </c>
      <c r="BB384">
        <f t="shared" si="101"/>
        <v>8867861.29797591</v>
      </c>
      <c r="BC384">
        <f t="shared" si="93"/>
        <v>110848.266224699</v>
      </c>
      <c r="BD384">
        <f t="shared" si="94"/>
        <v>0.0125</v>
      </c>
      <c r="BG384">
        <f t="shared" si="102"/>
        <v>0</v>
      </c>
      <c r="BH384">
        <f t="shared" si="103"/>
        <v>7170079.31508434</v>
      </c>
      <c r="BI384">
        <f t="shared" si="95"/>
        <v>89625.9914385543</v>
      </c>
      <c r="BJ384">
        <f t="shared" si="96"/>
        <v>0.0125</v>
      </c>
    </row>
    <row r="385" spans="39:62">
      <c r="AM385">
        <v>66.77</v>
      </c>
      <c r="AN385">
        <f t="shared" si="97"/>
        <v>0</v>
      </c>
      <c r="AO385">
        <f t="shared" si="104"/>
        <v>0</v>
      </c>
      <c r="AP385">
        <f t="shared" si="105"/>
        <v>0</v>
      </c>
      <c r="AQ385">
        <f t="shared" si="109"/>
        <v>0</v>
      </c>
      <c r="AR385">
        <f t="shared" si="106"/>
        <v>7718359.29251081</v>
      </c>
      <c r="AS385">
        <f t="shared" si="98"/>
        <v>96479.4911563852</v>
      </c>
      <c r="AT385">
        <f t="shared" si="99"/>
        <v>0.0125</v>
      </c>
      <c r="AW385">
        <v>162.15</v>
      </c>
      <c r="AX385">
        <f t="shared" si="92"/>
        <v>0</v>
      </c>
      <c r="AY385">
        <f t="shared" si="100"/>
        <v>0</v>
      </c>
      <c r="AZ385">
        <f t="shared" si="107"/>
        <v>0</v>
      </c>
      <c r="BA385">
        <f t="shared" si="108"/>
        <v>0</v>
      </c>
      <c r="BB385">
        <f t="shared" si="101"/>
        <v>8867861.29797591</v>
      </c>
      <c r="BC385">
        <f t="shared" si="93"/>
        <v>110848.266224699</v>
      </c>
      <c r="BD385">
        <f t="shared" si="94"/>
        <v>0.0125</v>
      </c>
      <c r="BG385">
        <f t="shared" si="102"/>
        <v>0</v>
      </c>
      <c r="BH385">
        <f t="shared" si="103"/>
        <v>7170079.31508434</v>
      </c>
      <c r="BI385">
        <f t="shared" si="95"/>
        <v>89625.9914385543</v>
      </c>
      <c r="BJ385">
        <f t="shared" si="96"/>
        <v>0.0125</v>
      </c>
    </row>
    <row r="386" spans="39:62">
      <c r="AM386">
        <v>66.59</v>
      </c>
      <c r="AN386">
        <f t="shared" si="97"/>
        <v>0</v>
      </c>
      <c r="AO386">
        <f t="shared" si="104"/>
        <v>0</v>
      </c>
      <c r="AP386">
        <f t="shared" si="105"/>
        <v>0</v>
      </c>
      <c r="AQ386">
        <f t="shared" si="109"/>
        <v>0</v>
      </c>
      <c r="AR386">
        <f t="shared" si="106"/>
        <v>7718359.29251081</v>
      </c>
      <c r="AS386">
        <f t="shared" si="98"/>
        <v>96479.4911563852</v>
      </c>
      <c r="AT386">
        <f t="shared" si="99"/>
        <v>0.0125</v>
      </c>
      <c r="AW386">
        <v>162.1</v>
      </c>
      <c r="AX386">
        <f t="shared" ref="AX386:AX449" si="110">IF(V386&gt;0,AW386*1.01,IF(V386&lt;0,AW386*0.99,0))</f>
        <v>0</v>
      </c>
      <c r="AY386">
        <f t="shared" si="100"/>
        <v>0</v>
      </c>
      <c r="AZ386">
        <f t="shared" si="107"/>
        <v>0</v>
      </c>
      <c r="BA386">
        <f t="shared" si="108"/>
        <v>0</v>
      </c>
      <c r="BB386">
        <f t="shared" si="101"/>
        <v>8867861.29797591</v>
      </c>
      <c r="BC386">
        <f t="shared" ref="BC386:BC449" si="111">BB386*0.2/16</f>
        <v>110848.266224699</v>
      </c>
      <c r="BD386">
        <f t="shared" ref="BD386:BD449" si="112">BC386/BB386</f>
        <v>0.0125</v>
      </c>
      <c r="BG386">
        <f t="shared" si="102"/>
        <v>0</v>
      </c>
      <c r="BH386">
        <f t="shared" si="103"/>
        <v>7170079.31508434</v>
      </c>
      <c r="BI386">
        <f t="shared" ref="BI386:BI449" si="113">BH386*0.2/16</f>
        <v>89625.9914385543</v>
      </c>
      <c r="BJ386">
        <f t="shared" ref="BJ386:BJ449" si="114">BI386/BH386</f>
        <v>0.0125</v>
      </c>
    </row>
    <row r="387" spans="39:62">
      <c r="AM387">
        <v>66.76</v>
      </c>
      <c r="AN387">
        <f t="shared" ref="AN387:AN450" si="115">IF(L387&gt;0,AM387*1.01,IF(L387&lt;0,AM387*0.99,0))</f>
        <v>0</v>
      </c>
      <c r="AO387">
        <f t="shared" si="104"/>
        <v>0</v>
      </c>
      <c r="AP387">
        <f t="shared" si="105"/>
        <v>0</v>
      </c>
      <c r="AQ387">
        <f t="shared" si="109"/>
        <v>0</v>
      </c>
      <c r="AR387">
        <f t="shared" si="106"/>
        <v>7718359.29251081</v>
      </c>
      <c r="AS387">
        <f t="shared" ref="AS387:AS450" si="116">AR387*0.2/16</f>
        <v>96479.4911563852</v>
      </c>
      <c r="AT387">
        <f t="shared" ref="AT387:AT450" si="117">AS387/AR387</f>
        <v>0.0125</v>
      </c>
      <c r="AW387">
        <v>162.23</v>
      </c>
      <c r="AX387">
        <f t="shared" si="110"/>
        <v>0</v>
      </c>
      <c r="AY387">
        <f t="shared" ref="AY387:AY450" si="118">IF(AX387&lt;&gt;0,(AW387-AX387)*$BE$2/$BF$2*AA387,0)</f>
        <v>0</v>
      </c>
      <c r="AZ387">
        <f t="shared" si="107"/>
        <v>0</v>
      </c>
      <c r="BA387">
        <f t="shared" si="108"/>
        <v>0</v>
      </c>
      <c r="BB387">
        <f t="shared" ref="BB387:BB450" si="119">BA387+BB386</f>
        <v>8867861.29797591</v>
      </c>
      <c r="BC387">
        <f t="shared" si="111"/>
        <v>110848.266224699</v>
      </c>
      <c r="BD387">
        <f t="shared" si="112"/>
        <v>0.0125</v>
      </c>
      <c r="BG387">
        <f t="shared" ref="BG387:BG450" si="120">AY387+AO387</f>
        <v>0</v>
      </c>
      <c r="BH387">
        <f t="shared" ref="BH387:BH450" si="121">BG387+BH386</f>
        <v>7170079.31508434</v>
      </c>
      <c r="BI387">
        <f t="shared" si="113"/>
        <v>89625.9914385543</v>
      </c>
      <c r="BJ387">
        <f t="shared" si="114"/>
        <v>0.0125</v>
      </c>
    </row>
    <row r="388" spans="39:62">
      <c r="AM388">
        <v>66.635</v>
      </c>
      <c r="AN388">
        <f t="shared" si="115"/>
        <v>0</v>
      </c>
      <c r="AO388">
        <f t="shared" ref="AO388:AO451" si="122">IF(AN388&lt;&gt;0,(AM388-AN388)*$AU$2/$AV$2*L388,0)</f>
        <v>0</v>
      </c>
      <c r="AP388">
        <f t="shared" ref="AP388:AP451" si="123">(AM388-AM387)*$AU$2/$AV$2*Z387</f>
        <v>0</v>
      </c>
      <c r="AQ388">
        <f t="shared" si="109"/>
        <v>0</v>
      </c>
      <c r="AR388">
        <f t="shared" ref="AR388:AR451" si="124">AQ388+AR387</f>
        <v>7718359.29251081</v>
      </c>
      <c r="AS388">
        <f t="shared" si="116"/>
        <v>96479.4911563852</v>
      </c>
      <c r="AT388">
        <f t="shared" si="117"/>
        <v>0.0125</v>
      </c>
      <c r="AW388">
        <v>162.09</v>
      </c>
      <c r="AX388">
        <f t="shared" si="110"/>
        <v>0</v>
      </c>
      <c r="AY388">
        <f t="shared" si="118"/>
        <v>0</v>
      </c>
      <c r="AZ388">
        <f t="shared" ref="AZ388:AZ451" si="125">(AW388-AW387)*$BE$2/$BF$2*AC387</f>
        <v>0</v>
      </c>
      <c r="BA388">
        <f t="shared" ref="BA388:BA451" si="126">AY388+AZ388</f>
        <v>0</v>
      </c>
      <c r="BB388">
        <f t="shared" si="119"/>
        <v>8867861.29797591</v>
      </c>
      <c r="BC388">
        <f t="shared" si="111"/>
        <v>110848.266224699</v>
      </c>
      <c r="BD388">
        <f t="shared" si="112"/>
        <v>0.0125</v>
      </c>
      <c r="BG388">
        <f t="shared" si="120"/>
        <v>0</v>
      </c>
      <c r="BH388">
        <f t="shared" si="121"/>
        <v>7170079.31508434</v>
      </c>
      <c r="BI388">
        <f t="shared" si="113"/>
        <v>89625.9914385543</v>
      </c>
      <c r="BJ388">
        <f t="shared" si="114"/>
        <v>0.0125</v>
      </c>
    </row>
    <row r="389" spans="39:62">
      <c r="AM389">
        <v>66.645</v>
      </c>
      <c r="AN389">
        <f t="shared" si="115"/>
        <v>0</v>
      </c>
      <c r="AO389">
        <f t="shared" si="122"/>
        <v>0</v>
      </c>
      <c r="AP389">
        <f t="shared" si="123"/>
        <v>0</v>
      </c>
      <c r="AQ389">
        <f t="shared" ref="AQ389:AQ452" si="127">AO389+AP389</f>
        <v>0</v>
      </c>
      <c r="AR389">
        <f t="shared" si="124"/>
        <v>7718359.29251081</v>
      </c>
      <c r="AS389">
        <f t="shared" si="116"/>
        <v>96479.4911563852</v>
      </c>
      <c r="AT389">
        <f t="shared" si="117"/>
        <v>0.0125</v>
      </c>
      <c r="AW389">
        <v>162.3</v>
      </c>
      <c r="AX389">
        <f t="shared" si="110"/>
        <v>0</v>
      </c>
      <c r="AY389">
        <f t="shared" si="118"/>
        <v>0</v>
      </c>
      <c r="AZ389">
        <f t="shared" si="125"/>
        <v>0</v>
      </c>
      <c r="BA389">
        <f t="shared" si="126"/>
        <v>0</v>
      </c>
      <c r="BB389">
        <f t="shared" si="119"/>
        <v>8867861.29797591</v>
      </c>
      <c r="BC389">
        <f t="shared" si="111"/>
        <v>110848.266224699</v>
      </c>
      <c r="BD389">
        <f t="shared" si="112"/>
        <v>0.0125</v>
      </c>
      <c r="BG389">
        <f t="shared" si="120"/>
        <v>0</v>
      </c>
      <c r="BH389">
        <f t="shared" si="121"/>
        <v>7170079.31508434</v>
      </c>
      <c r="BI389">
        <f t="shared" si="113"/>
        <v>89625.9914385543</v>
      </c>
      <c r="BJ389">
        <f t="shared" si="114"/>
        <v>0.0125</v>
      </c>
    </row>
    <row r="390" spans="39:62">
      <c r="AM390">
        <v>66.62</v>
      </c>
      <c r="AN390">
        <f t="shared" si="115"/>
        <v>0</v>
      </c>
      <c r="AO390">
        <f t="shared" si="122"/>
        <v>0</v>
      </c>
      <c r="AP390">
        <f t="shared" si="123"/>
        <v>0</v>
      </c>
      <c r="AQ390">
        <f t="shared" si="127"/>
        <v>0</v>
      </c>
      <c r="AR390">
        <f t="shared" si="124"/>
        <v>7718359.29251081</v>
      </c>
      <c r="AS390">
        <f t="shared" si="116"/>
        <v>96479.4911563852</v>
      </c>
      <c r="AT390">
        <f t="shared" si="117"/>
        <v>0.0125</v>
      </c>
      <c r="AW390">
        <v>162.46</v>
      </c>
      <c r="AX390">
        <f t="shared" si="110"/>
        <v>0</v>
      </c>
      <c r="AY390">
        <f t="shared" si="118"/>
        <v>0</v>
      </c>
      <c r="AZ390">
        <f t="shared" si="125"/>
        <v>0</v>
      </c>
      <c r="BA390">
        <f t="shared" si="126"/>
        <v>0</v>
      </c>
      <c r="BB390">
        <f t="shared" si="119"/>
        <v>8867861.29797591</v>
      </c>
      <c r="BC390">
        <f t="shared" si="111"/>
        <v>110848.266224699</v>
      </c>
      <c r="BD390">
        <f t="shared" si="112"/>
        <v>0.0125</v>
      </c>
      <c r="BG390">
        <f t="shared" si="120"/>
        <v>0</v>
      </c>
      <c r="BH390">
        <f t="shared" si="121"/>
        <v>7170079.31508434</v>
      </c>
      <c r="BI390">
        <f t="shared" si="113"/>
        <v>89625.9914385543</v>
      </c>
      <c r="BJ390">
        <f t="shared" si="114"/>
        <v>0.0125</v>
      </c>
    </row>
    <row r="391" spans="39:62">
      <c r="AM391">
        <v>66.83</v>
      </c>
      <c r="AN391">
        <f t="shared" si="115"/>
        <v>0</v>
      </c>
      <c r="AO391">
        <f t="shared" si="122"/>
        <v>0</v>
      </c>
      <c r="AP391">
        <f t="shared" si="123"/>
        <v>0</v>
      </c>
      <c r="AQ391">
        <f t="shared" si="127"/>
        <v>0</v>
      </c>
      <c r="AR391">
        <f t="shared" si="124"/>
        <v>7718359.29251081</v>
      </c>
      <c r="AS391">
        <f t="shared" si="116"/>
        <v>96479.4911563852</v>
      </c>
      <c r="AT391">
        <f t="shared" si="117"/>
        <v>0.0125</v>
      </c>
      <c r="AW391">
        <v>162.55</v>
      </c>
      <c r="AX391">
        <f t="shared" si="110"/>
        <v>0</v>
      </c>
      <c r="AY391">
        <f t="shared" si="118"/>
        <v>0</v>
      </c>
      <c r="AZ391">
        <f t="shared" si="125"/>
        <v>0</v>
      </c>
      <c r="BA391">
        <f t="shared" si="126"/>
        <v>0</v>
      </c>
      <c r="BB391">
        <f t="shared" si="119"/>
        <v>8867861.29797591</v>
      </c>
      <c r="BC391">
        <f t="shared" si="111"/>
        <v>110848.266224699</v>
      </c>
      <c r="BD391">
        <f t="shared" si="112"/>
        <v>0.0125</v>
      </c>
      <c r="BG391">
        <f t="shared" si="120"/>
        <v>0</v>
      </c>
      <c r="BH391">
        <f t="shared" si="121"/>
        <v>7170079.31508434</v>
      </c>
      <c r="BI391">
        <f t="shared" si="113"/>
        <v>89625.9914385543</v>
      </c>
      <c r="BJ391">
        <f t="shared" si="114"/>
        <v>0.0125</v>
      </c>
    </row>
    <row r="392" spans="39:62">
      <c r="AM392">
        <v>66.635</v>
      </c>
      <c r="AN392">
        <f t="shared" si="115"/>
        <v>0</v>
      </c>
      <c r="AO392">
        <f t="shared" si="122"/>
        <v>0</v>
      </c>
      <c r="AP392">
        <f t="shared" si="123"/>
        <v>0</v>
      </c>
      <c r="AQ392">
        <f t="shared" si="127"/>
        <v>0</v>
      </c>
      <c r="AR392">
        <f t="shared" si="124"/>
        <v>7718359.29251081</v>
      </c>
      <c r="AS392">
        <f t="shared" si="116"/>
        <v>96479.4911563852</v>
      </c>
      <c r="AT392">
        <f t="shared" si="117"/>
        <v>0.0125</v>
      </c>
      <c r="AW392">
        <v>162.63</v>
      </c>
      <c r="AX392">
        <f t="shared" si="110"/>
        <v>0</v>
      </c>
      <c r="AY392">
        <f t="shared" si="118"/>
        <v>0</v>
      </c>
      <c r="AZ392">
        <f t="shared" si="125"/>
        <v>0</v>
      </c>
      <c r="BA392">
        <f t="shared" si="126"/>
        <v>0</v>
      </c>
      <c r="BB392">
        <f t="shared" si="119"/>
        <v>8867861.29797591</v>
      </c>
      <c r="BC392">
        <f t="shared" si="111"/>
        <v>110848.266224699</v>
      </c>
      <c r="BD392">
        <f t="shared" si="112"/>
        <v>0.0125</v>
      </c>
      <c r="BG392">
        <f t="shared" si="120"/>
        <v>0</v>
      </c>
      <c r="BH392">
        <f t="shared" si="121"/>
        <v>7170079.31508434</v>
      </c>
      <c r="BI392">
        <f t="shared" si="113"/>
        <v>89625.9914385543</v>
      </c>
      <c r="BJ392">
        <f t="shared" si="114"/>
        <v>0.0125</v>
      </c>
    </row>
    <row r="393" spans="39:62">
      <c r="AM393">
        <v>66.815</v>
      </c>
      <c r="AN393">
        <f t="shared" si="115"/>
        <v>0</v>
      </c>
      <c r="AO393">
        <f t="shared" si="122"/>
        <v>0</v>
      </c>
      <c r="AP393">
        <f t="shared" si="123"/>
        <v>0</v>
      </c>
      <c r="AQ393">
        <f t="shared" si="127"/>
        <v>0</v>
      </c>
      <c r="AR393">
        <f t="shared" si="124"/>
        <v>7718359.29251081</v>
      </c>
      <c r="AS393">
        <f t="shared" si="116"/>
        <v>96479.4911563852</v>
      </c>
      <c r="AT393">
        <f t="shared" si="117"/>
        <v>0.0125</v>
      </c>
      <c r="AW393">
        <v>162.72</v>
      </c>
      <c r="AX393">
        <f t="shared" si="110"/>
        <v>0</v>
      </c>
      <c r="AY393">
        <f t="shared" si="118"/>
        <v>0</v>
      </c>
      <c r="AZ393">
        <f t="shared" si="125"/>
        <v>0</v>
      </c>
      <c r="BA393">
        <f t="shared" si="126"/>
        <v>0</v>
      </c>
      <c r="BB393">
        <f t="shared" si="119"/>
        <v>8867861.29797591</v>
      </c>
      <c r="BC393">
        <f t="shared" si="111"/>
        <v>110848.266224699</v>
      </c>
      <c r="BD393">
        <f t="shared" si="112"/>
        <v>0.0125</v>
      </c>
      <c r="BG393">
        <f t="shared" si="120"/>
        <v>0</v>
      </c>
      <c r="BH393">
        <f t="shared" si="121"/>
        <v>7170079.31508434</v>
      </c>
      <c r="BI393">
        <f t="shared" si="113"/>
        <v>89625.9914385543</v>
      </c>
      <c r="BJ393">
        <f t="shared" si="114"/>
        <v>0.0125</v>
      </c>
    </row>
    <row r="394" spans="39:62">
      <c r="AM394">
        <v>66.815</v>
      </c>
      <c r="AN394">
        <f t="shared" si="115"/>
        <v>0</v>
      </c>
      <c r="AO394">
        <f t="shared" si="122"/>
        <v>0</v>
      </c>
      <c r="AP394">
        <f t="shared" si="123"/>
        <v>0</v>
      </c>
      <c r="AQ394">
        <f t="shared" si="127"/>
        <v>0</v>
      </c>
      <c r="AR394">
        <f t="shared" si="124"/>
        <v>7718359.29251081</v>
      </c>
      <c r="AS394">
        <f t="shared" si="116"/>
        <v>96479.4911563852</v>
      </c>
      <c r="AT394">
        <f t="shared" si="117"/>
        <v>0.0125</v>
      </c>
      <c r="AW394">
        <v>162.55</v>
      </c>
      <c r="AX394">
        <f t="shared" si="110"/>
        <v>0</v>
      </c>
      <c r="AY394">
        <f t="shared" si="118"/>
        <v>0</v>
      </c>
      <c r="AZ394">
        <f t="shared" si="125"/>
        <v>0</v>
      </c>
      <c r="BA394">
        <f t="shared" si="126"/>
        <v>0</v>
      </c>
      <c r="BB394">
        <f t="shared" si="119"/>
        <v>8867861.29797591</v>
      </c>
      <c r="BC394">
        <f t="shared" si="111"/>
        <v>110848.266224699</v>
      </c>
      <c r="BD394">
        <f t="shared" si="112"/>
        <v>0.0125</v>
      </c>
      <c r="BG394">
        <f t="shared" si="120"/>
        <v>0</v>
      </c>
      <c r="BH394">
        <f t="shared" si="121"/>
        <v>7170079.31508434</v>
      </c>
      <c r="BI394">
        <f t="shared" si="113"/>
        <v>89625.9914385543</v>
      </c>
      <c r="BJ394">
        <f t="shared" si="114"/>
        <v>0.0125</v>
      </c>
    </row>
    <row r="395" spans="39:62">
      <c r="AM395">
        <v>67.165</v>
      </c>
      <c r="AN395">
        <f t="shared" si="115"/>
        <v>0</v>
      </c>
      <c r="AO395">
        <f t="shared" si="122"/>
        <v>0</v>
      </c>
      <c r="AP395">
        <f t="shared" si="123"/>
        <v>0</v>
      </c>
      <c r="AQ395">
        <f t="shared" si="127"/>
        <v>0</v>
      </c>
      <c r="AR395">
        <f t="shared" si="124"/>
        <v>7718359.29251081</v>
      </c>
      <c r="AS395">
        <f t="shared" si="116"/>
        <v>96479.4911563852</v>
      </c>
      <c r="AT395">
        <f t="shared" si="117"/>
        <v>0.0125</v>
      </c>
      <c r="AW395">
        <v>162.7</v>
      </c>
      <c r="AX395">
        <f t="shared" si="110"/>
        <v>0</v>
      </c>
      <c r="AY395">
        <f t="shared" si="118"/>
        <v>0</v>
      </c>
      <c r="AZ395">
        <f t="shared" si="125"/>
        <v>0</v>
      </c>
      <c r="BA395">
        <f t="shared" si="126"/>
        <v>0</v>
      </c>
      <c r="BB395">
        <f t="shared" si="119"/>
        <v>8867861.29797591</v>
      </c>
      <c r="BC395">
        <f t="shared" si="111"/>
        <v>110848.266224699</v>
      </c>
      <c r="BD395">
        <f t="shared" si="112"/>
        <v>0.0125</v>
      </c>
      <c r="BG395">
        <f t="shared" si="120"/>
        <v>0</v>
      </c>
      <c r="BH395">
        <f t="shared" si="121"/>
        <v>7170079.31508434</v>
      </c>
      <c r="BI395">
        <f t="shared" si="113"/>
        <v>89625.9914385543</v>
      </c>
      <c r="BJ395">
        <f t="shared" si="114"/>
        <v>0.0125</v>
      </c>
    </row>
    <row r="396" spans="39:62">
      <c r="AM396">
        <v>67.645</v>
      </c>
      <c r="AN396">
        <f t="shared" si="115"/>
        <v>0</v>
      </c>
      <c r="AO396">
        <f t="shared" si="122"/>
        <v>0</v>
      </c>
      <c r="AP396">
        <f t="shared" si="123"/>
        <v>0</v>
      </c>
      <c r="AQ396">
        <f t="shared" si="127"/>
        <v>0</v>
      </c>
      <c r="AR396">
        <f t="shared" si="124"/>
        <v>7718359.29251081</v>
      </c>
      <c r="AS396">
        <f t="shared" si="116"/>
        <v>96479.4911563852</v>
      </c>
      <c r="AT396">
        <f t="shared" si="117"/>
        <v>0.0125</v>
      </c>
      <c r="AW396">
        <v>162.82</v>
      </c>
      <c r="AX396">
        <f t="shared" si="110"/>
        <v>0</v>
      </c>
      <c r="AY396">
        <f t="shared" si="118"/>
        <v>0</v>
      </c>
      <c r="AZ396">
        <f t="shared" si="125"/>
        <v>0</v>
      </c>
      <c r="BA396">
        <f t="shared" si="126"/>
        <v>0</v>
      </c>
      <c r="BB396">
        <f t="shared" si="119"/>
        <v>8867861.29797591</v>
      </c>
      <c r="BC396">
        <f t="shared" si="111"/>
        <v>110848.266224699</v>
      </c>
      <c r="BD396">
        <f t="shared" si="112"/>
        <v>0.0125</v>
      </c>
      <c r="BG396">
        <f t="shared" si="120"/>
        <v>0</v>
      </c>
      <c r="BH396">
        <f t="shared" si="121"/>
        <v>7170079.31508434</v>
      </c>
      <c r="BI396">
        <f t="shared" si="113"/>
        <v>89625.9914385543</v>
      </c>
      <c r="BJ396">
        <f t="shared" si="114"/>
        <v>0.0125</v>
      </c>
    </row>
    <row r="397" spans="39:62">
      <c r="AM397">
        <v>67.5</v>
      </c>
      <c r="AN397">
        <f t="shared" si="115"/>
        <v>0</v>
      </c>
      <c r="AO397">
        <f t="shared" si="122"/>
        <v>0</v>
      </c>
      <c r="AP397">
        <f t="shared" si="123"/>
        <v>0</v>
      </c>
      <c r="AQ397">
        <f t="shared" si="127"/>
        <v>0</v>
      </c>
      <c r="AR397">
        <f t="shared" si="124"/>
        <v>7718359.29251081</v>
      </c>
      <c r="AS397">
        <f t="shared" si="116"/>
        <v>96479.4911563852</v>
      </c>
      <c r="AT397">
        <f t="shared" si="117"/>
        <v>0.0125</v>
      </c>
      <c r="AW397">
        <v>162.61</v>
      </c>
      <c r="AX397">
        <f t="shared" si="110"/>
        <v>0</v>
      </c>
      <c r="AY397">
        <f t="shared" si="118"/>
        <v>0</v>
      </c>
      <c r="AZ397">
        <f t="shared" si="125"/>
        <v>0</v>
      </c>
      <c r="BA397">
        <f t="shared" si="126"/>
        <v>0</v>
      </c>
      <c r="BB397">
        <f t="shared" si="119"/>
        <v>8867861.29797591</v>
      </c>
      <c r="BC397">
        <f t="shared" si="111"/>
        <v>110848.266224699</v>
      </c>
      <c r="BD397">
        <f t="shared" si="112"/>
        <v>0.0125</v>
      </c>
      <c r="BG397">
        <f t="shared" si="120"/>
        <v>0</v>
      </c>
      <c r="BH397">
        <f t="shared" si="121"/>
        <v>7170079.31508434</v>
      </c>
      <c r="BI397">
        <f t="shared" si="113"/>
        <v>89625.9914385543</v>
      </c>
      <c r="BJ397">
        <f t="shared" si="114"/>
        <v>0.0125</v>
      </c>
    </row>
    <row r="398" spans="39:62">
      <c r="AM398">
        <v>67.525</v>
      </c>
      <c r="AN398">
        <f t="shared" si="115"/>
        <v>0</v>
      </c>
      <c r="AO398">
        <f t="shared" si="122"/>
        <v>0</v>
      </c>
      <c r="AP398">
        <f t="shared" si="123"/>
        <v>0</v>
      </c>
      <c r="AQ398">
        <f t="shared" si="127"/>
        <v>0</v>
      </c>
      <c r="AR398">
        <f t="shared" si="124"/>
        <v>7718359.29251081</v>
      </c>
      <c r="AS398">
        <f t="shared" si="116"/>
        <v>96479.4911563852</v>
      </c>
      <c r="AT398">
        <f t="shared" si="117"/>
        <v>0.0125</v>
      </c>
      <c r="AW398">
        <v>162.38</v>
      </c>
      <c r="AX398">
        <f t="shared" si="110"/>
        <v>0</v>
      </c>
      <c r="AY398">
        <f t="shared" si="118"/>
        <v>0</v>
      </c>
      <c r="AZ398">
        <f t="shared" si="125"/>
        <v>0</v>
      </c>
      <c r="BA398">
        <f t="shared" si="126"/>
        <v>0</v>
      </c>
      <c r="BB398">
        <f t="shared" si="119"/>
        <v>8867861.29797591</v>
      </c>
      <c r="BC398">
        <f t="shared" si="111"/>
        <v>110848.266224699</v>
      </c>
      <c r="BD398">
        <f t="shared" si="112"/>
        <v>0.0125</v>
      </c>
      <c r="BG398">
        <f t="shared" si="120"/>
        <v>0</v>
      </c>
      <c r="BH398">
        <f t="shared" si="121"/>
        <v>7170079.31508434</v>
      </c>
      <c r="BI398">
        <f t="shared" si="113"/>
        <v>89625.9914385543</v>
      </c>
      <c r="BJ398">
        <f t="shared" si="114"/>
        <v>0.0125</v>
      </c>
    </row>
    <row r="399" spans="39:62">
      <c r="AM399">
        <v>67.57</v>
      </c>
      <c r="AN399">
        <f t="shared" si="115"/>
        <v>0</v>
      </c>
      <c r="AO399">
        <f t="shared" si="122"/>
        <v>0</v>
      </c>
      <c r="AP399">
        <f t="shared" si="123"/>
        <v>0</v>
      </c>
      <c r="AQ399">
        <f t="shared" si="127"/>
        <v>0</v>
      </c>
      <c r="AR399">
        <f t="shared" si="124"/>
        <v>7718359.29251081</v>
      </c>
      <c r="AS399">
        <f t="shared" si="116"/>
        <v>96479.4911563852</v>
      </c>
      <c r="AT399">
        <f t="shared" si="117"/>
        <v>0.0125</v>
      </c>
      <c r="AW399">
        <v>162.53</v>
      </c>
      <c r="AX399">
        <f t="shared" si="110"/>
        <v>0</v>
      </c>
      <c r="AY399">
        <f t="shared" si="118"/>
        <v>0</v>
      </c>
      <c r="AZ399">
        <f t="shared" si="125"/>
        <v>0</v>
      </c>
      <c r="BA399">
        <f t="shared" si="126"/>
        <v>0</v>
      </c>
      <c r="BB399">
        <f t="shared" si="119"/>
        <v>8867861.29797591</v>
      </c>
      <c r="BC399">
        <f t="shared" si="111"/>
        <v>110848.266224699</v>
      </c>
      <c r="BD399">
        <f t="shared" si="112"/>
        <v>0.0125</v>
      </c>
      <c r="BG399">
        <f t="shared" si="120"/>
        <v>0</v>
      </c>
      <c r="BH399">
        <f t="shared" si="121"/>
        <v>7170079.31508434</v>
      </c>
      <c r="BI399">
        <f t="shared" si="113"/>
        <v>89625.9914385543</v>
      </c>
      <c r="BJ399">
        <f t="shared" si="114"/>
        <v>0.0125</v>
      </c>
    </row>
    <row r="400" spans="39:62">
      <c r="AM400">
        <v>67.735</v>
      </c>
      <c r="AN400">
        <f t="shared" si="115"/>
        <v>0</v>
      </c>
      <c r="AO400">
        <f t="shared" si="122"/>
        <v>0</v>
      </c>
      <c r="AP400">
        <f t="shared" si="123"/>
        <v>0</v>
      </c>
      <c r="AQ400">
        <f t="shared" si="127"/>
        <v>0</v>
      </c>
      <c r="AR400">
        <f t="shared" si="124"/>
        <v>7718359.29251081</v>
      </c>
      <c r="AS400">
        <f t="shared" si="116"/>
        <v>96479.4911563852</v>
      </c>
      <c r="AT400">
        <f t="shared" si="117"/>
        <v>0.0125</v>
      </c>
      <c r="AW400">
        <v>162.77</v>
      </c>
      <c r="AX400">
        <f t="shared" si="110"/>
        <v>0</v>
      </c>
      <c r="AY400">
        <f t="shared" si="118"/>
        <v>0</v>
      </c>
      <c r="AZ400">
        <f t="shared" si="125"/>
        <v>0</v>
      </c>
      <c r="BA400">
        <f t="shared" si="126"/>
        <v>0</v>
      </c>
      <c r="BB400">
        <f t="shared" si="119"/>
        <v>8867861.29797591</v>
      </c>
      <c r="BC400">
        <f t="shared" si="111"/>
        <v>110848.266224699</v>
      </c>
      <c r="BD400">
        <f t="shared" si="112"/>
        <v>0.0125</v>
      </c>
      <c r="BG400">
        <f t="shared" si="120"/>
        <v>0</v>
      </c>
      <c r="BH400">
        <f t="shared" si="121"/>
        <v>7170079.31508434</v>
      </c>
      <c r="BI400">
        <f t="shared" si="113"/>
        <v>89625.9914385543</v>
      </c>
      <c r="BJ400">
        <f t="shared" si="114"/>
        <v>0.0125</v>
      </c>
    </row>
    <row r="401" spans="39:62">
      <c r="AM401">
        <v>67.995</v>
      </c>
      <c r="AN401">
        <f t="shared" si="115"/>
        <v>0</v>
      </c>
      <c r="AO401">
        <f t="shared" si="122"/>
        <v>0</v>
      </c>
      <c r="AP401">
        <f t="shared" si="123"/>
        <v>0</v>
      </c>
      <c r="AQ401">
        <f t="shared" si="127"/>
        <v>0</v>
      </c>
      <c r="AR401">
        <f t="shared" si="124"/>
        <v>7718359.29251081</v>
      </c>
      <c r="AS401">
        <f t="shared" si="116"/>
        <v>96479.4911563852</v>
      </c>
      <c r="AT401">
        <f t="shared" si="117"/>
        <v>0.0125</v>
      </c>
      <c r="AW401">
        <v>162.98</v>
      </c>
      <c r="AX401">
        <f t="shared" si="110"/>
        <v>0</v>
      </c>
      <c r="AY401">
        <f t="shared" si="118"/>
        <v>0</v>
      </c>
      <c r="AZ401">
        <f t="shared" si="125"/>
        <v>0</v>
      </c>
      <c r="BA401">
        <f t="shared" si="126"/>
        <v>0</v>
      </c>
      <c r="BB401">
        <f t="shared" si="119"/>
        <v>8867861.29797591</v>
      </c>
      <c r="BC401">
        <f t="shared" si="111"/>
        <v>110848.266224699</v>
      </c>
      <c r="BD401">
        <f t="shared" si="112"/>
        <v>0.0125</v>
      </c>
      <c r="BG401">
        <f t="shared" si="120"/>
        <v>0</v>
      </c>
      <c r="BH401">
        <f t="shared" si="121"/>
        <v>7170079.31508434</v>
      </c>
      <c r="BI401">
        <f t="shared" si="113"/>
        <v>89625.9914385543</v>
      </c>
      <c r="BJ401">
        <f t="shared" si="114"/>
        <v>0.0125</v>
      </c>
    </row>
    <row r="402" spans="39:62">
      <c r="AM402">
        <v>67.755</v>
      </c>
      <c r="AN402">
        <f t="shared" si="115"/>
        <v>0</v>
      </c>
      <c r="AO402">
        <f t="shared" si="122"/>
        <v>0</v>
      </c>
      <c r="AP402">
        <f t="shared" si="123"/>
        <v>0</v>
      </c>
      <c r="AQ402">
        <f t="shared" si="127"/>
        <v>0</v>
      </c>
      <c r="AR402">
        <f t="shared" si="124"/>
        <v>7718359.29251081</v>
      </c>
      <c r="AS402">
        <f t="shared" si="116"/>
        <v>96479.4911563852</v>
      </c>
      <c r="AT402">
        <f t="shared" si="117"/>
        <v>0.0125</v>
      </c>
      <c r="AW402">
        <v>162.47</v>
      </c>
      <c r="AX402">
        <f t="shared" si="110"/>
        <v>0</v>
      </c>
      <c r="AY402">
        <f t="shared" si="118"/>
        <v>0</v>
      </c>
      <c r="AZ402">
        <f t="shared" si="125"/>
        <v>0</v>
      </c>
      <c r="BA402">
        <f t="shared" si="126"/>
        <v>0</v>
      </c>
      <c r="BB402">
        <f t="shared" si="119"/>
        <v>8867861.29797591</v>
      </c>
      <c r="BC402">
        <f t="shared" si="111"/>
        <v>110848.266224699</v>
      </c>
      <c r="BD402">
        <f t="shared" si="112"/>
        <v>0.0125</v>
      </c>
      <c r="BG402">
        <f t="shared" si="120"/>
        <v>0</v>
      </c>
      <c r="BH402">
        <f t="shared" si="121"/>
        <v>7170079.31508434</v>
      </c>
      <c r="BI402">
        <f t="shared" si="113"/>
        <v>89625.9914385543</v>
      </c>
      <c r="BJ402">
        <f t="shared" si="114"/>
        <v>0.0125</v>
      </c>
    </row>
    <row r="403" spans="39:62">
      <c r="AM403">
        <v>67.44</v>
      </c>
      <c r="AN403">
        <f t="shared" si="115"/>
        <v>0</v>
      </c>
      <c r="AO403">
        <f t="shared" si="122"/>
        <v>0</v>
      </c>
      <c r="AP403">
        <f t="shared" si="123"/>
        <v>0</v>
      </c>
      <c r="AQ403">
        <f t="shared" si="127"/>
        <v>0</v>
      </c>
      <c r="AR403">
        <f t="shared" si="124"/>
        <v>7718359.29251081</v>
      </c>
      <c r="AS403">
        <f t="shared" si="116"/>
        <v>96479.4911563852</v>
      </c>
      <c r="AT403">
        <f t="shared" si="117"/>
        <v>0.0125</v>
      </c>
      <c r="AW403">
        <v>162.85</v>
      </c>
      <c r="AX403">
        <f t="shared" si="110"/>
        <v>0</v>
      </c>
      <c r="AY403">
        <f t="shared" si="118"/>
        <v>0</v>
      </c>
      <c r="AZ403">
        <f t="shared" si="125"/>
        <v>0</v>
      </c>
      <c r="BA403">
        <f t="shared" si="126"/>
        <v>0</v>
      </c>
      <c r="BB403">
        <f t="shared" si="119"/>
        <v>8867861.29797591</v>
      </c>
      <c r="BC403">
        <f t="shared" si="111"/>
        <v>110848.266224699</v>
      </c>
      <c r="BD403">
        <f t="shared" si="112"/>
        <v>0.0125</v>
      </c>
      <c r="BG403">
        <f t="shared" si="120"/>
        <v>0</v>
      </c>
      <c r="BH403">
        <f t="shared" si="121"/>
        <v>7170079.31508434</v>
      </c>
      <c r="BI403">
        <f t="shared" si="113"/>
        <v>89625.9914385543</v>
      </c>
      <c r="BJ403">
        <f t="shared" si="114"/>
        <v>0.0125</v>
      </c>
    </row>
    <row r="404" spans="39:62">
      <c r="AM404">
        <v>67.365</v>
      </c>
      <c r="AN404">
        <f t="shared" si="115"/>
        <v>0</v>
      </c>
      <c r="AO404">
        <f t="shared" si="122"/>
        <v>0</v>
      </c>
      <c r="AP404">
        <f t="shared" si="123"/>
        <v>0</v>
      </c>
      <c r="AQ404">
        <f t="shared" si="127"/>
        <v>0</v>
      </c>
      <c r="AR404">
        <f t="shared" si="124"/>
        <v>7718359.29251081</v>
      </c>
      <c r="AS404">
        <f t="shared" si="116"/>
        <v>96479.4911563852</v>
      </c>
      <c r="AT404">
        <f t="shared" si="117"/>
        <v>0.0125</v>
      </c>
      <c r="AW404">
        <v>162.95</v>
      </c>
      <c r="AX404">
        <f t="shared" si="110"/>
        <v>0</v>
      </c>
      <c r="AY404">
        <f t="shared" si="118"/>
        <v>0</v>
      </c>
      <c r="AZ404">
        <f t="shared" si="125"/>
        <v>0</v>
      </c>
      <c r="BA404">
        <f t="shared" si="126"/>
        <v>0</v>
      </c>
      <c r="BB404">
        <f t="shared" si="119"/>
        <v>8867861.29797591</v>
      </c>
      <c r="BC404">
        <f t="shared" si="111"/>
        <v>110848.266224699</v>
      </c>
      <c r="BD404">
        <f t="shared" si="112"/>
        <v>0.0125</v>
      </c>
      <c r="BG404">
        <f t="shared" si="120"/>
        <v>0</v>
      </c>
      <c r="BH404">
        <f t="shared" si="121"/>
        <v>7170079.31508434</v>
      </c>
      <c r="BI404">
        <f t="shared" si="113"/>
        <v>89625.9914385543</v>
      </c>
      <c r="BJ404">
        <f t="shared" si="114"/>
        <v>0.0125</v>
      </c>
    </row>
    <row r="405" spans="39:62">
      <c r="AM405">
        <v>67.15</v>
      </c>
      <c r="AN405">
        <f t="shared" si="115"/>
        <v>0</v>
      </c>
      <c r="AO405">
        <f t="shared" si="122"/>
        <v>0</v>
      </c>
      <c r="AP405">
        <f t="shared" si="123"/>
        <v>0</v>
      </c>
      <c r="AQ405">
        <f t="shared" si="127"/>
        <v>0</v>
      </c>
      <c r="AR405">
        <f t="shared" si="124"/>
        <v>7718359.29251081</v>
      </c>
      <c r="AS405">
        <f t="shared" si="116"/>
        <v>96479.4911563852</v>
      </c>
      <c r="AT405">
        <f t="shared" si="117"/>
        <v>0.0125</v>
      </c>
      <c r="AW405">
        <v>163.08</v>
      </c>
      <c r="AX405">
        <f t="shared" si="110"/>
        <v>0</v>
      </c>
      <c r="AY405">
        <f t="shared" si="118"/>
        <v>0</v>
      </c>
      <c r="AZ405">
        <f t="shared" si="125"/>
        <v>0</v>
      </c>
      <c r="BA405">
        <f t="shared" si="126"/>
        <v>0</v>
      </c>
      <c r="BB405">
        <f t="shared" si="119"/>
        <v>8867861.29797591</v>
      </c>
      <c r="BC405">
        <f t="shared" si="111"/>
        <v>110848.266224699</v>
      </c>
      <c r="BD405">
        <f t="shared" si="112"/>
        <v>0.0125</v>
      </c>
      <c r="BG405">
        <f t="shared" si="120"/>
        <v>0</v>
      </c>
      <c r="BH405">
        <f t="shared" si="121"/>
        <v>7170079.31508434</v>
      </c>
      <c r="BI405">
        <f t="shared" si="113"/>
        <v>89625.9914385543</v>
      </c>
      <c r="BJ405">
        <f t="shared" si="114"/>
        <v>0.0125</v>
      </c>
    </row>
    <row r="406" spans="39:62">
      <c r="AM406">
        <v>66.93</v>
      </c>
      <c r="AN406">
        <f t="shared" si="115"/>
        <v>0</v>
      </c>
      <c r="AO406">
        <f t="shared" si="122"/>
        <v>0</v>
      </c>
      <c r="AP406">
        <f t="shared" si="123"/>
        <v>0</v>
      </c>
      <c r="AQ406">
        <f t="shared" si="127"/>
        <v>0</v>
      </c>
      <c r="AR406">
        <f t="shared" si="124"/>
        <v>7718359.29251081</v>
      </c>
      <c r="AS406">
        <f t="shared" si="116"/>
        <v>96479.4911563852</v>
      </c>
      <c r="AT406">
        <f t="shared" si="117"/>
        <v>0.0125</v>
      </c>
      <c r="AW406">
        <v>162.53</v>
      </c>
      <c r="AX406">
        <f t="shared" si="110"/>
        <v>0</v>
      </c>
      <c r="AY406">
        <f t="shared" si="118"/>
        <v>0</v>
      </c>
      <c r="AZ406">
        <f t="shared" si="125"/>
        <v>0</v>
      </c>
      <c r="BA406">
        <f t="shared" si="126"/>
        <v>0</v>
      </c>
      <c r="BB406">
        <f t="shared" si="119"/>
        <v>8867861.29797591</v>
      </c>
      <c r="BC406">
        <f t="shared" si="111"/>
        <v>110848.266224699</v>
      </c>
      <c r="BD406">
        <f t="shared" si="112"/>
        <v>0.0125</v>
      </c>
      <c r="BG406">
        <f t="shared" si="120"/>
        <v>0</v>
      </c>
      <c r="BH406">
        <f t="shared" si="121"/>
        <v>7170079.31508434</v>
      </c>
      <c r="BI406">
        <f t="shared" si="113"/>
        <v>89625.9914385543</v>
      </c>
      <c r="BJ406">
        <f t="shared" si="114"/>
        <v>0.0125</v>
      </c>
    </row>
    <row r="407" spans="39:62">
      <c r="AM407">
        <v>66.505</v>
      </c>
      <c r="AN407">
        <f t="shared" si="115"/>
        <v>0</v>
      </c>
      <c r="AO407">
        <f t="shared" si="122"/>
        <v>0</v>
      </c>
      <c r="AP407">
        <f t="shared" si="123"/>
        <v>0</v>
      </c>
      <c r="AQ407">
        <f t="shared" si="127"/>
        <v>0</v>
      </c>
      <c r="AR407">
        <f t="shared" si="124"/>
        <v>7718359.29251081</v>
      </c>
      <c r="AS407">
        <f t="shared" si="116"/>
        <v>96479.4911563852</v>
      </c>
      <c r="AT407">
        <f t="shared" si="117"/>
        <v>0.0125</v>
      </c>
      <c r="AW407">
        <v>162.1</v>
      </c>
      <c r="AX407">
        <f t="shared" si="110"/>
        <v>0</v>
      </c>
      <c r="AY407">
        <f t="shared" si="118"/>
        <v>0</v>
      </c>
      <c r="AZ407">
        <f t="shared" si="125"/>
        <v>0</v>
      </c>
      <c r="BA407">
        <f t="shared" si="126"/>
        <v>0</v>
      </c>
      <c r="BB407">
        <f t="shared" si="119"/>
        <v>8867861.29797591</v>
      </c>
      <c r="BC407">
        <f t="shared" si="111"/>
        <v>110848.266224699</v>
      </c>
      <c r="BD407">
        <f t="shared" si="112"/>
        <v>0.0125</v>
      </c>
      <c r="BG407">
        <f t="shared" si="120"/>
        <v>0</v>
      </c>
      <c r="BH407">
        <f t="shared" si="121"/>
        <v>7170079.31508434</v>
      </c>
      <c r="BI407">
        <f t="shared" si="113"/>
        <v>89625.9914385543</v>
      </c>
      <c r="BJ407">
        <f t="shared" si="114"/>
        <v>0.0125</v>
      </c>
    </row>
    <row r="408" spans="39:62">
      <c r="AM408">
        <v>66.225</v>
      </c>
      <c r="AN408">
        <f t="shared" si="115"/>
        <v>0</v>
      </c>
      <c r="AO408">
        <f t="shared" si="122"/>
        <v>0</v>
      </c>
      <c r="AP408">
        <f t="shared" si="123"/>
        <v>0</v>
      </c>
      <c r="AQ408">
        <f t="shared" si="127"/>
        <v>0</v>
      </c>
      <c r="AR408">
        <f t="shared" si="124"/>
        <v>7718359.29251081</v>
      </c>
      <c r="AS408">
        <f t="shared" si="116"/>
        <v>96479.4911563852</v>
      </c>
      <c r="AT408">
        <f t="shared" si="117"/>
        <v>0.0125</v>
      </c>
      <c r="AW408">
        <v>162.28</v>
      </c>
      <c r="AX408">
        <f t="shared" si="110"/>
        <v>0</v>
      </c>
      <c r="AY408">
        <f t="shared" si="118"/>
        <v>0</v>
      </c>
      <c r="AZ408">
        <f t="shared" si="125"/>
        <v>0</v>
      </c>
      <c r="BA408">
        <f t="shared" si="126"/>
        <v>0</v>
      </c>
      <c r="BB408">
        <f t="shared" si="119"/>
        <v>8867861.29797591</v>
      </c>
      <c r="BC408">
        <f t="shared" si="111"/>
        <v>110848.266224699</v>
      </c>
      <c r="BD408">
        <f t="shared" si="112"/>
        <v>0.0125</v>
      </c>
      <c r="BG408">
        <f t="shared" si="120"/>
        <v>0</v>
      </c>
      <c r="BH408">
        <f t="shared" si="121"/>
        <v>7170079.31508434</v>
      </c>
      <c r="BI408">
        <f t="shared" si="113"/>
        <v>89625.9914385543</v>
      </c>
      <c r="BJ408">
        <f t="shared" si="114"/>
        <v>0.0125</v>
      </c>
    </row>
    <row r="409" spans="39:62">
      <c r="AM409">
        <v>65.88</v>
      </c>
      <c r="AN409">
        <f t="shared" si="115"/>
        <v>0</v>
      </c>
      <c r="AO409">
        <f t="shared" si="122"/>
        <v>0</v>
      </c>
      <c r="AP409">
        <f t="shared" si="123"/>
        <v>0</v>
      </c>
      <c r="AQ409">
        <f t="shared" si="127"/>
        <v>0</v>
      </c>
      <c r="AR409">
        <f t="shared" si="124"/>
        <v>7718359.29251081</v>
      </c>
      <c r="AS409">
        <f t="shared" si="116"/>
        <v>96479.4911563852</v>
      </c>
      <c r="AT409">
        <f t="shared" si="117"/>
        <v>0.0125</v>
      </c>
      <c r="AW409">
        <v>162.37</v>
      </c>
      <c r="AX409">
        <f t="shared" si="110"/>
        <v>0</v>
      </c>
      <c r="AY409">
        <f t="shared" si="118"/>
        <v>0</v>
      </c>
      <c r="AZ409">
        <f t="shared" si="125"/>
        <v>0</v>
      </c>
      <c r="BA409">
        <f t="shared" si="126"/>
        <v>0</v>
      </c>
      <c r="BB409">
        <f t="shared" si="119"/>
        <v>8867861.29797591</v>
      </c>
      <c r="BC409">
        <f t="shared" si="111"/>
        <v>110848.266224699</v>
      </c>
      <c r="BD409">
        <f t="shared" si="112"/>
        <v>0.0125</v>
      </c>
      <c r="BG409">
        <f t="shared" si="120"/>
        <v>0</v>
      </c>
      <c r="BH409">
        <f t="shared" si="121"/>
        <v>7170079.31508434</v>
      </c>
      <c r="BI409">
        <f t="shared" si="113"/>
        <v>89625.9914385543</v>
      </c>
      <c r="BJ409">
        <f t="shared" si="114"/>
        <v>0.0125</v>
      </c>
    </row>
    <row r="410" spans="39:62">
      <c r="AM410">
        <v>65.515</v>
      </c>
      <c r="AN410">
        <f t="shared" si="115"/>
        <v>0</v>
      </c>
      <c r="AO410">
        <f t="shared" si="122"/>
        <v>0</v>
      </c>
      <c r="AP410">
        <f t="shared" si="123"/>
        <v>0</v>
      </c>
      <c r="AQ410">
        <f t="shared" si="127"/>
        <v>0</v>
      </c>
      <c r="AR410">
        <f t="shared" si="124"/>
        <v>7718359.29251081</v>
      </c>
      <c r="AS410">
        <f t="shared" si="116"/>
        <v>96479.4911563852</v>
      </c>
      <c r="AT410">
        <f t="shared" si="117"/>
        <v>0.0125</v>
      </c>
      <c r="AW410">
        <v>162.18</v>
      </c>
      <c r="AX410">
        <f t="shared" si="110"/>
        <v>0</v>
      </c>
      <c r="AY410">
        <f t="shared" si="118"/>
        <v>0</v>
      </c>
      <c r="AZ410">
        <f t="shared" si="125"/>
        <v>0</v>
      </c>
      <c r="BA410">
        <f t="shared" si="126"/>
        <v>0</v>
      </c>
      <c r="BB410">
        <f t="shared" si="119"/>
        <v>8867861.29797591</v>
      </c>
      <c r="BC410">
        <f t="shared" si="111"/>
        <v>110848.266224699</v>
      </c>
      <c r="BD410">
        <f t="shared" si="112"/>
        <v>0.0125</v>
      </c>
      <c r="BG410">
        <f t="shared" si="120"/>
        <v>0</v>
      </c>
      <c r="BH410">
        <f t="shared" si="121"/>
        <v>7170079.31508434</v>
      </c>
      <c r="BI410">
        <f t="shared" si="113"/>
        <v>89625.9914385543</v>
      </c>
      <c r="BJ410">
        <f t="shared" si="114"/>
        <v>0.0125</v>
      </c>
    </row>
    <row r="411" spans="39:62">
      <c r="AM411">
        <v>65.61</v>
      </c>
      <c r="AN411">
        <f t="shared" si="115"/>
        <v>0</v>
      </c>
      <c r="AO411">
        <f t="shared" si="122"/>
        <v>0</v>
      </c>
      <c r="AP411">
        <f t="shared" si="123"/>
        <v>0</v>
      </c>
      <c r="AQ411">
        <f t="shared" si="127"/>
        <v>0</v>
      </c>
      <c r="AR411">
        <f t="shared" si="124"/>
        <v>7718359.29251081</v>
      </c>
      <c r="AS411">
        <f t="shared" si="116"/>
        <v>96479.4911563852</v>
      </c>
      <c r="AT411">
        <f t="shared" si="117"/>
        <v>0.0125</v>
      </c>
      <c r="AW411">
        <v>162.07</v>
      </c>
      <c r="AX411">
        <f t="shared" si="110"/>
        <v>0</v>
      </c>
      <c r="AY411">
        <f t="shared" si="118"/>
        <v>0</v>
      </c>
      <c r="AZ411">
        <f t="shared" si="125"/>
        <v>0</v>
      </c>
      <c r="BA411">
        <f t="shared" si="126"/>
        <v>0</v>
      </c>
      <c r="BB411">
        <f t="shared" si="119"/>
        <v>8867861.29797591</v>
      </c>
      <c r="BC411">
        <f t="shared" si="111"/>
        <v>110848.266224699</v>
      </c>
      <c r="BD411">
        <f t="shared" si="112"/>
        <v>0.0125</v>
      </c>
      <c r="BG411">
        <f t="shared" si="120"/>
        <v>0</v>
      </c>
      <c r="BH411">
        <f t="shared" si="121"/>
        <v>7170079.31508434</v>
      </c>
      <c r="BI411">
        <f t="shared" si="113"/>
        <v>89625.9914385543</v>
      </c>
      <c r="BJ411">
        <f t="shared" si="114"/>
        <v>0.0125</v>
      </c>
    </row>
    <row r="412" spans="39:62">
      <c r="AM412">
        <v>65.54</v>
      </c>
      <c r="AN412">
        <f t="shared" si="115"/>
        <v>0</v>
      </c>
      <c r="AO412">
        <f t="shared" si="122"/>
        <v>0</v>
      </c>
      <c r="AP412">
        <f t="shared" si="123"/>
        <v>0</v>
      </c>
      <c r="AQ412">
        <f t="shared" si="127"/>
        <v>0</v>
      </c>
      <c r="AR412">
        <f t="shared" si="124"/>
        <v>7718359.29251081</v>
      </c>
      <c r="AS412">
        <f t="shared" si="116"/>
        <v>96479.4911563852</v>
      </c>
      <c r="AT412">
        <f t="shared" si="117"/>
        <v>0.0125</v>
      </c>
      <c r="AW412">
        <v>161.43</v>
      </c>
      <c r="AX412">
        <f t="shared" si="110"/>
        <v>0</v>
      </c>
      <c r="AY412">
        <f t="shared" si="118"/>
        <v>0</v>
      </c>
      <c r="AZ412">
        <f t="shared" si="125"/>
        <v>0</v>
      </c>
      <c r="BA412">
        <f t="shared" si="126"/>
        <v>0</v>
      </c>
      <c r="BB412">
        <f t="shared" si="119"/>
        <v>8867861.29797591</v>
      </c>
      <c r="BC412">
        <f t="shared" si="111"/>
        <v>110848.266224699</v>
      </c>
      <c r="BD412">
        <f t="shared" si="112"/>
        <v>0.0125</v>
      </c>
      <c r="BG412">
        <f t="shared" si="120"/>
        <v>0</v>
      </c>
      <c r="BH412">
        <f t="shared" si="121"/>
        <v>7170079.31508434</v>
      </c>
      <c r="BI412">
        <f t="shared" si="113"/>
        <v>89625.9914385543</v>
      </c>
      <c r="BJ412">
        <f t="shared" si="114"/>
        <v>0.0125</v>
      </c>
    </row>
    <row r="413" spans="39:62">
      <c r="AM413">
        <v>65.465</v>
      </c>
      <c r="AN413">
        <f t="shared" si="115"/>
        <v>0</v>
      </c>
      <c r="AO413">
        <f t="shared" si="122"/>
        <v>0</v>
      </c>
      <c r="AP413">
        <f t="shared" si="123"/>
        <v>0</v>
      </c>
      <c r="AQ413">
        <f t="shared" si="127"/>
        <v>0</v>
      </c>
      <c r="AR413">
        <f t="shared" si="124"/>
        <v>7718359.29251081</v>
      </c>
      <c r="AS413">
        <f t="shared" si="116"/>
        <v>96479.4911563852</v>
      </c>
      <c r="AT413">
        <f t="shared" si="117"/>
        <v>0.0125</v>
      </c>
      <c r="AW413">
        <v>161.58</v>
      </c>
      <c r="AX413">
        <f t="shared" si="110"/>
        <v>0</v>
      </c>
      <c r="AY413">
        <f t="shared" si="118"/>
        <v>0</v>
      </c>
      <c r="AZ413">
        <f t="shared" si="125"/>
        <v>0</v>
      </c>
      <c r="BA413">
        <f t="shared" si="126"/>
        <v>0</v>
      </c>
      <c r="BB413">
        <f t="shared" si="119"/>
        <v>8867861.29797591</v>
      </c>
      <c r="BC413">
        <f t="shared" si="111"/>
        <v>110848.266224699</v>
      </c>
      <c r="BD413">
        <f t="shared" si="112"/>
        <v>0.0125</v>
      </c>
      <c r="BG413">
        <f t="shared" si="120"/>
        <v>0</v>
      </c>
      <c r="BH413">
        <f t="shared" si="121"/>
        <v>7170079.31508434</v>
      </c>
      <c r="BI413">
        <f t="shared" si="113"/>
        <v>89625.9914385543</v>
      </c>
      <c r="BJ413">
        <f t="shared" si="114"/>
        <v>0.0125</v>
      </c>
    </row>
    <row r="414" spans="39:62">
      <c r="AM414">
        <v>65.53</v>
      </c>
      <c r="AN414">
        <f t="shared" si="115"/>
        <v>0</v>
      </c>
      <c r="AO414">
        <f t="shared" si="122"/>
        <v>0</v>
      </c>
      <c r="AP414">
        <f t="shared" si="123"/>
        <v>0</v>
      </c>
      <c r="AQ414">
        <f t="shared" si="127"/>
        <v>0</v>
      </c>
      <c r="AR414">
        <f t="shared" si="124"/>
        <v>7718359.29251081</v>
      </c>
      <c r="AS414">
        <f t="shared" si="116"/>
        <v>96479.4911563852</v>
      </c>
      <c r="AT414">
        <f t="shared" si="117"/>
        <v>0.0125</v>
      </c>
      <c r="AW414">
        <v>160.91</v>
      </c>
      <c r="AX414">
        <f t="shared" si="110"/>
        <v>0</v>
      </c>
      <c r="AY414">
        <f t="shared" si="118"/>
        <v>0</v>
      </c>
      <c r="AZ414">
        <f t="shared" si="125"/>
        <v>0</v>
      </c>
      <c r="BA414">
        <f t="shared" si="126"/>
        <v>0</v>
      </c>
      <c r="BB414">
        <f t="shared" si="119"/>
        <v>8867861.29797591</v>
      </c>
      <c r="BC414">
        <f t="shared" si="111"/>
        <v>110848.266224699</v>
      </c>
      <c r="BD414">
        <f t="shared" si="112"/>
        <v>0.0125</v>
      </c>
      <c r="BG414">
        <f t="shared" si="120"/>
        <v>0</v>
      </c>
      <c r="BH414">
        <f t="shared" si="121"/>
        <v>7170079.31508434</v>
      </c>
      <c r="BI414">
        <f t="shared" si="113"/>
        <v>89625.9914385543</v>
      </c>
      <c r="BJ414">
        <f t="shared" si="114"/>
        <v>0.0125</v>
      </c>
    </row>
    <row r="415" spans="39:62">
      <c r="AM415">
        <v>64.99</v>
      </c>
      <c r="AN415">
        <f t="shared" si="115"/>
        <v>0</v>
      </c>
      <c r="AO415">
        <f t="shared" si="122"/>
        <v>0</v>
      </c>
      <c r="AP415">
        <f t="shared" si="123"/>
        <v>0</v>
      </c>
      <c r="AQ415">
        <f t="shared" si="127"/>
        <v>0</v>
      </c>
      <c r="AR415">
        <f t="shared" si="124"/>
        <v>7718359.29251081</v>
      </c>
      <c r="AS415">
        <f t="shared" si="116"/>
        <v>96479.4911563852</v>
      </c>
      <c r="AT415">
        <f t="shared" si="117"/>
        <v>0.0125</v>
      </c>
      <c r="AW415">
        <v>161.26</v>
      </c>
      <c r="AX415">
        <f t="shared" si="110"/>
        <v>0</v>
      </c>
      <c r="AY415">
        <f t="shared" si="118"/>
        <v>0</v>
      </c>
      <c r="AZ415">
        <f t="shared" si="125"/>
        <v>0</v>
      </c>
      <c r="BA415">
        <f t="shared" si="126"/>
        <v>0</v>
      </c>
      <c r="BB415">
        <f t="shared" si="119"/>
        <v>8867861.29797591</v>
      </c>
      <c r="BC415">
        <f t="shared" si="111"/>
        <v>110848.266224699</v>
      </c>
      <c r="BD415">
        <f t="shared" si="112"/>
        <v>0.0125</v>
      </c>
      <c r="BG415">
        <f t="shared" si="120"/>
        <v>0</v>
      </c>
      <c r="BH415">
        <f t="shared" si="121"/>
        <v>7170079.31508434</v>
      </c>
      <c r="BI415">
        <f t="shared" si="113"/>
        <v>89625.9914385543</v>
      </c>
      <c r="BJ415">
        <f t="shared" si="114"/>
        <v>0.0125</v>
      </c>
    </row>
    <row r="416" spans="39:62">
      <c r="AM416">
        <v>65.225</v>
      </c>
      <c r="AN416">
        <f t="shared" si="115"/>
        <v>0</v>
      </c>
      <c r="AO416">
        <f t="shared" si="122"/>
        <v>0</v>
      </c>
      <c r="AP416">
        <f t="shared" si="123"/>
        <v>0</v>
      </c>
      <c r="AQ416">
        <f t="shared" si="127"/>
        <v>0</v>
      </c>
      <c r="AR416">
        <f t="shared" si="124"/>
        <v>7718359.29251081</v>
      </c>
      <c r="AS416">
        <f t="shared" si="116"/>
        <v>96479.4911563852</v>
      </c>
      <c r="AT416">
        <f t="shared" si="117"/>
        <v>0.0125</v>
      </c>
      <c r="AW416">
        <v>162.05</v>
      </c>
      <c r="AX416">
        <f t="shared" si="110"/>
        <v>0</v>
      </c>
      <c r="AY416">
        <f t="shared" si="118"/>
        <v>0</v>
      </c>
      <c r="AZ416">
        <f t="shared" si="125"/>
        <v>0</v>
      </c>
      <c r="BA416">
        <f t="shared" si="126"/>
        <v>0</v>
      </c>
      <c r="BB416">
        <f t="shared" si="119"/>
        <v>8867861.29797591</v>
      </c>
      <c r="BC416">
        <f t="shared" si="111"/>
        <v>110848.266224699</v>
      </c>
      <c r="BD416">
        <f t="shared" si="112"/>
        <v>0.0125</v>
      </c>
      <c r="BG416">
        <f t="shared" si="120"/>
        <v>0</v>
      </c>
      <c r="BH416">
        <f t="shared" si="121"/>
        <v>7170079.31508434</v>
      </c>
      <c r="BI416">
        <f t="shared" si="113"/>
        <v>89625.9914385543</v>
      </c>
      <c r="BJ416">
        <f t="shared" si="114"/>
        <v>0.0125</v>
      </c>
    </row>
    <row r="417" spans="39:62">
      <c r="AM417">
        <v>64.93</v>
      </c>
      <c r="AN417">
        <f t="shared" si="115"/>
        <v>0</v>
      </c>
      <c r="AO417">
        <f t="shared" si="122"/>
        <v>0</v>
      </c>
      <c r="AP417">
        <f t="shared" si="123"/>
        <v>0</v>
      </c>
      <c r="AQ417">
        <f t="shared" si="127"/>
        <v>0</v>
      </c>
      <c r="AR417">
        <f t="shared" si="124"/>
        <v>7718359.29251081</v>
      </c>
      <c r="AS417">
        <f t="shared" si="116"/>
        <v>96479.4911563852</v>
      </c>
      <c r="AT417">
        <f t="shared" si="117"/>
        <v>0.0125</v>
      </c>
      <c r="AW417">
        <v>162.35</v>
      </c>
      <c r="AX417">
        <f t="shared" si="110"/>
        <v>0</v>
      </c>
      <c r="AY417">
        <f t="shared" si="118"/>
        <v>0</v>
      </c>
      <c r="AZ417">
        <f t="shared" si="125"/>
        <v>0</v>
      </c>
      <c r="BA417">
        <f t="shared" si="126"/>
        <v>0</v>
      </c>
      <c r="BB417">
        <f t="shared" si="119"/>
        <v>8867861.29797591</v>
      </c>
      <c r="BC417">
        <f t="shared" si="111"/>
        <v>110848.266224699</v>
      </c>
      <c r="BD417">
        <f t="shared" si="112"/>
        <v>0.0125</v>
      </c>
      <c r="BG417">
        <f t="shared" si="120"/>
        <v>0</v>
      </c>
      <c r="BH417">
        <f t="shared" si="121"/>
        <v>7170079.31508434</v>
      </c>
      <c r="BI417">
        <f t="shared" si="113"/>
        <v>89625.9914385543</v>
      </c>
      <c r="BJ417">
        <f t="shared" si="114"/>
        <v>0.0125</v>
      </c>
    </row>
    <row r="418" spans="39:62">
      <c r="AM418">
        <v>65.4</v>
      </c>
      <c r="AN418">
        <f t="shared" si="115"/>
        <v>0</v>
      </c>
      <c r="AO418">
        <f t="shared" si="122"/>
        <v>0</v>
      </c>
      <c r="AP418">
        <f t="shared" si="123"/>
        <v>0</v>
      </c>
      <c r="AQ418">
        <f t="shared" si="127"/>
        <v>0</v>
      </c>
      <c r="AR418">
        <f t="shared" si="124"/>
        <v>7718359.29251081</v>
      </c>
      <c r="AS418">
        <f t="shared" si="116"/>
        <v>96479.4911563852</v>
      </c>
      <c r="AT418">
        <f t="shared" si="117"/>
        <v>0.0125</v>
      </c>
      <c r="AW418">
        <v>162.01</v>
      </c>
      <c r="AX418">
        <f t="shared" si="110"/>
        <v>0</v>
      </c>
      <c r="AY418">
        <f t="shared" si="118"/>
        <v>0</v>
      </c>
      <c r="AZ418">
        <f t="shared" si="125"/>
        <v>0</v>
      </c>
      <c r="BA418">
        <f t="shared" si="126"/>
        <v>0</v>
      </c>
      <c r="BB418">
        <f t="shared" si="119"/>
        <v>8867861.29797591</v>
      </c>
      <c r="BC418">
        <f t="shared" si="111"/>
        <v>110848.266224699</v>
      </c>
      <c r="BD418">
        <f t="shared" si="112"/>
        <v>0.0125</v>
      </c>
      <c r="BG418">
        <f t="shared" si="120"/>
        <v>0</v>
      </c>
      <c r="BH418">
        <f t="shared" si="121"/>
        <v>7170079.31508434</v>
      </c>
      <c r="BI418">
        <f t="shared" si="113"/>
        <v>89625.9914385543</v>
      </c>
      <c r="BJ418">
        <f t="shared" si="114"/>
        <v>0.0125</v>
      </c>
    </row>
    <row r="419" spans="39:62">
      <c r="AM419">
        <v>65.24</v>
      </c>
      <c r="AN419">
        <f t="shared" si="115"/>
        <v>0</v>
      </c>
      <c r="AO419">
        <f t="shared" si="122"/>
        <v>0</v>
      </c>
      <c r="AP419">
        <f t="shared" si="123"/>
        <v>0</v>
      </c>
      <c r="AQ419">
        <f t="shared" si="127"/>
        <v>0</v>
      </c>
      <c r="AR419">
        <f t="shared" si="124"/>
        <v>7718359.29251081</v>
      </c>
      <c r="AS419">
        <f t="shared" si="116"/>
        <v>96479.4911563852</v>
      </c>
      <c r="AT419">
        <f t="shared" si="117"/>
        <v>0.0125</v>
      </c>
      <c r="AW419">
        <v>162.11</v>
      </c>
      <c r="AX419">
        <f t="shared" si="110"/>
        <v>0</v>
      </c>
      <c r="AY419">
        <f t="shared" si="118"/>
        <v>0</v>
      </c>
      <c r="AZ419">
        <f t="shared" si="125"/>
        <v>0</v>
      </c>
      <c r="BA419">
        <f t="shared" si="126"/>
        <v>0</v>
      </c>
      <c r="BB419">
        <f t="shared" si="119"/>
        <v>8867861.29797591</v>
      </c>
      <c r="BC419">
        <f t="shared" si="111"/>
        <v>110848.266224699</v>
      </c>
      <c r="BD419">
        <f t="shared" si="112"/>
        <v>0.0125</v>
      </c>
      <c r="BG419">
        <f t="shared" si="120"/>
        <v>0</v>
      </c>
      <c r="BH419">
        <f t="shared" si="121"/>
        <v>7170079.31508434</v>
      </c>
      <c r="BI419">
        <f t="shared" si="113"/>
        <v>89625.9914385543</v>
      </c>
      <c r="BJ419">
        <f t="shared" si="114"/>
        <v>0.0125</v>
      </c>
    </row>
    <row r="420" spans="39:62">
      <c r="AM420">
        <v>65.99</v>
      </c>
      <c r="AN420">
        <f t="shared" si="115"/>
        <v>0</v>
      </c>
      <c r="AO420">
        <f t="shared" si="122"/>
        <v>0</v>
      </c>
      <c r="AP420">
        <f t="shared" si="123"/>
        <v>0</v>
      </c>
      <c r="AQ420">
        <f t="shared" si="127"/>
        <v>0</v>
      </c>
      <c r="AR420">
        <f t="shared" si="124"/>
        <v>7718359.29251081</v>
      </c>
      <c r="AS420">
        <f t="shared" si="116"/>
        <v>96479.4911563852</v>
      </c>
      <c r="AT420">
        <f t="shared" si="117"/>
        <v>0.0125</v>
      </c>
      <c r="AW420">
        <v>162.5</v>
      </c>
      <c r="AX420">
        <f t="shared" si="110"/>
        <v>0</v>
      </c>
      <c r="AY420">
        <f t="shared" si="118"/>
        <v>0</v>
      </c>
      <c r="AZ420">
        <f t="shared" si="125"/>
        <v>0</v>
      </c>
      <c r="BA420">
        <f t="shared" si="126"/>
        <v>0</v>
      </c>
      <c r="BB420">
        <f t="shared" si="119"/>
        <v>8867861.29797591</v>
      </c>
      <c r="BC420">
        <f t="shared" si="111"/>
        <v>110848.266224699</v>
      </c>
      <c r="BD420">
        <f t="shared" si="112"/>
        <v>0.0125</v>
      </c>
      <c r="BG420">
        <f t="shared" si="120"/>
        <v>0</v>
      </c>
      <c r="BH420">
        <f t="shared" si="121"/>
        <v>7170079.31508434</v>
      </c>
      <c r="BI420">
        <f t="shared" si="113"/>
        <v>89625.9914385543</v>
      </c>
      <c r="BJ420">
        <f t="shared" si="114"/>
        <v>0.0125</v>
      </c>
    </row>
    <row r="421" spans="39:62">
      <c r="AM421">
        <v>65.81</v>
      </c>
      <c r="AN421">
        <f t="shared" si="115"/>
        <v>0</v>
      </c>
      <c r="AO421">
        <f t="shared" si="122"/>
        <v>0</v>
      </c>
      <c r="AP421">
        <f t="shared" si="123"/>
        <v>0</v>
      </c>
      <c r="AQ421">
        <f t="shared" si="127"/>
        <v>0</v>
      </c>
      <c r="AR421">
        <f t="shared" si="124"/>
        <v>7718359.29251081</v>
      </c>
      <c r="AS421">
        <f t="shared" si="116"/>
        <v>96479.4911563852</v>
      </c>
      <c r="AT421">
        <f t="shared" si="117"/>
        <v>0.0125</v>
      </c>
      <c r="AW421">
        <v>163.34</v>
      </c>
      <c r="AX421">
        <f t="shared" si="110"/>
        <v>0</v>
      </c>
      <c r="AY421">
        <f t="shared" si="118"/>
        <v>0</v>
      </c>
      <c r="AZ421">
        <f t="shared" si="125"/>
        <v>0</v>
      </c>
      <c r="BA421">
        <f t="shared" si="126"/>
        <v>0</v>
      </c>
      <c r="BB421">
        <f t="shared" si="119"/>
        <v>8867861.29797591</v>
      </c>
      <c r="BC421">
        <f t="shared" si="111"/>
        <v>110848.266224699</v>
      </c>
      <c r="BD421">
        <f t="shared" si="112"/>
        <v>0.0125</v>
      </c>
      <c r="BG421">
        <f t="shared" si="120"/>
        <v>0</v>
      </c>
      <c r="BH421">
        <f t="shared" si="121"/>
        <v>7170079.31508434</v>
      </c>
      <c r="BI421">
        <f t="shared" si="113"/>
        <v>89625.9914385543</v>
      </c>
      <c r="BJ421">
        <f t="shared" si="114"/>
        <v>0.0125</v>
      </c>
    </row>
    <row r="422" spans="39:62">
      <c r="AM422">
        <v>65.945</v>
      </c>
      <c r="AN422">
        <f t="shared" si="115"/>
        <v>0</v>
      </c>
      <c r="AO422">
        <f t="shared" si="122"/>
        <v>0</v>
      </c>
      <c r="AP422">
        <f t="shared" si="123"/>
        <v>0</v>
      </c>
      <c r="AQ422">
        <f t="shared" si="127"/>
        <v>0</v>
      </c>
      <c r="AR422">
        <f t="shared" si="124"/>
        <v>7718359.29251081</v>
      </c>
      <c r="AS422">
        <f t="shared" si="116"/>
        <v>96479.4911563852</v>
      </c>
      <c r="AT422">
        <f t="shared" si="117"/>
        <v>0.0125</v>
      </c>
      <c r="AW422">
        <v>163.36</v>
      </c>
      <c r="AX422">
        <f t="shared" si="110"/>
        <v>0</v>
      </c>
      <c r="AY422">
        <f t="shared" si="118"/>
        <v>0</v>
      </c>
      <c r="AZ422">
        <f t="shared" si="125"/>
        <v>0</v>
      </c>
      <c r="BA422">
        <f t="shared" si="126"/>
        <v>0</v>
      </c>
      <c r="BB422">
        <f t="shared" si="119"/>
        <v>8867861.29797591</v>
      </c>
      <c r="BC422">
        <f t="shared" si="111"/>
        <v>110848.266224699</v>
      </c>
      <c r="BD422">
        <f t="shared" si="112"/>
        <v>0.0125</v>
      </c>
      <c r="BG422">
        <f t="shared" si="120"/>
        <v>0</v>
      </c>
      <c r="BH422">
        <f t="shared" si="121"/>
        <v>7170079.31508434</v>
      </c>
      <c r="BI422">
        <f t="shared" si="113"/>
        <v>89625.9914385543</v>
      </c>
      <c r="BJ422">
        <f t="shared" si="114"/>
        <v>0.0125</v>
      </c>
    </row>
    <row r="423" spans="39:62">
      <c r="AM423">
        <v>66.425</v>
      </c>
      <c r="AN423">
        <f t="shared" si="115"/>
        <v>0</v>
      </c>
      <c r="AO423">
        <f t="shared" si="122"/>
        <v>0</v>
      </c>
      <c r="AP423">
        <f t="shared" si="123"/>
        <v>0</v>
      </c>
      <c r="AQ423">
        <f t="shared" si="127"/>
        <v>0</v>
      </c>
      <c r="AR423">
        <f t="shared" si="124"/>
        <v>7718359.29251081</v>
      </c>
      <c r="AS423">
        <f t="shared" si="116"/>
        <v>96479.4911563852</v>
      </c>
      <c r="AT423">
        <f t="shared" si="117"/>
        <v>0.0125</v>
      </c>
      <c r="AW423">
        <v>163.21</v>
      </c>
      <c r="AX423">
        <f t="shared" si="110"/>
        <v>0</v>
      </c>
      <c r="AY423">
        <f t="shared" si="118"/>
        <v>0</v>
      </c>
      <c r="AZ423">
        <f t="shared" si="125"/>
        <v>0</v>
      </c>
      <c r="BA423">
        <f t="shared" si="126"/>
        <v>0</v>
      </c>
      <c r="BB423">
        <f t="shared" si="119"/>
        <v>8867861.29797591</v>
      </c>
      <c r="BC423">
        <f t="shared" si="111"/>
        <v>110848.266224699</v>
      </c>
      <c r="BD423">
        <f t="shared" si="112"/>
        <v>0.0125</v>
      </c>
      <c r="BG423">
        <f t="shared" si="120"/>
        <v>0</v>
      </c>
      <c r="BH423">
        <f t="shared" si="121"/>
        <v>7170079.31508434</v>
      </c>
      <c r="BI423">
        <f t="shared" si="113"/>
        <v>89625.9914385543</v>
      </c>
      <c r="BJ423">
        <f t="shared" si="114"/>
        <v>0.0125</v>
      </c>
    </row>
    <row r="424" spans="39:62">
      <c r="AM424">
        <v>66.105</v>
      </c>
      <c r="AN424">
        <f t="shared" si="115"/>
        <v>0</v>
      </c>
      <c r="AO424">
        <f t="shared" si="122"/>
        <v>0</v>
      </c>
      <c r="AP424">
        <f t="shared" si="123"/>
        <v>0</v>
      </c>
      <c r="AQ424">
        <f t="shared" si="127"/>
        <v>0</v>
      </c>
      <c r="AR424">
        <f t="shared" si="124"/>
        <v>7718359.29251081</v>
      </c>
      <c r="AS424">
        <f t="shared" si="116"/>
        <v>96479.4911563852</v>
      </c>
      <c r="AT424">
        <f t="shared" si="117"/>
        <v>0.0125</v>
      </c>
      <c r="AW424">
        <v>163.71</v>
      </c>
      <c r="AX424">
        <f t="shared" si="110"/>
        <v>0</v>
      </c>
      <c r="AY424">
        <f t="shared" si="118"/>
        <v>0</v>
      </c>
      <c r="AZ424">
        <f t="shared" si="125"/>
        <v>0</v>
      </c>
      <c r="BA424">
        <f t="shared" si="126"/>
        <v>0</v>
      </c>
      <c r="BB424">
        <f t="shared" si="119"/>
        <v>8867861.29797591</v>
      </c>
      <c r="BC424">
        <f t="shared" si="111"/>
        <v>110848.266224699</v>
      </c>
      <c r="BD424">
        <f t="shared" si="112"/>
        <v>0.0125</v>
      </c>
      <c r="BG424">
        <f t="shared" si="120"/>
        <v>0</v>
      </c>
      <c r="BH424">
        <f t="shared" si="121"/>
        <v>7170079.31508434</v>
      </c>
      <c r="BI424">
        <f t="shared" si="113"/>
        <v>89625.9914385543</v>
      </c>
      <c r="BJ424">
        <f t="shared" si="114"/>
        <v>0.0125</v>
      </c>
    </row>
    <row r="425" spans="39:62">
      <c r="AM425">
        <v>66.21</v>
      </c>
      <c r="AN425">
        <f t="shared" si="115"/>
        <v>0</v>
      </c>
      <c r="AO425">
        <f t="shared" si="122"/>
        <v>0</v>
      </c>
      <c r="AP425">
        <f t="shared" si="123"/>
        <v>0</v>
      </c>
      <c r="AQ425">
        <f t="shared" si="127"/>
        <v>0</v>
      </c>
      <c r="AR425">
        <f t="shared" si="124"/>
        <v>7718359.29251081</v>
      </c>
      <c r="AS425">
        <f t="shared" si="116"/>
        <v>96479.4911563852</v>
      </c>
      <c r="AT425">
        <f t="shared" si="117"/>
        <v>0.0125</v>
      </c>
      <c r="AW425">
        <v>163.49</v>
      </c>
      <c r="AX425">
        <f t="shared" si="110"/>
        <v>0</v>
      </c>
      <c r="AY425">
        <f t="shared" si="118"/>
        <v>0</v>
      </c>
      <c r="AZ425">
        <f t="shared" si="125"/>
        <v>0</v>
      </c>
      <c r="BA425">
        <f t="shared" si="126"/>
        <v>0</v>
      </c>
      <c r="BB425">
        <f t="shared" si="119"/>
        <v>8867861.29797591</v>
      </c>
      <c r="BC425">
        <f t="shared" si="111"/>
        <v>110848.266224699</v>
      </c>
      <c r="BD425">
        <f t="shared" si="112"/>
        <v>0.0125</v>
      </c>
      <c r="BG425">
        <f t="shared" si="120"/>
        <v>0</v>
      </c>
      <c r="BH425">
        <f t="shared" si="121"/>
        <v>7170079.31508434</v>
      </c>
      <c r="BI425">
        <f t="shared" si="113"/>
        <v>89625.9914385543</v>
      </c>
      <c r="BJ425">
        <f t="shared" si="114"/>
        <v>0.0125</v>
      </c>
    </row>
    <row r="426" spans="39:62">
      <c r="AM426">
        <v>66.755</v>
      </c>
      <c r="AN426">
        <f t="shared" si="115"/>
        <v>0</v>
      </c>
      <c r="AO426">
        <f t="shared" si="122"/>
        <v>0</v>
      </c>
      <c r="AP426">
        <f t="shared" si="123"/>
        <v>0</v>
      </c>
      <c r="AQ426">
        <f t="shared" si="127"/>
        <v>0</v>
      </c>
      <c r="AR426">
        <f t="shared" si="124"/>
        <v>7718359.29251081</v>
      </c>
      <c r="AS426">
        <f t="shared" si="116"/>
        <v>96479.4911563852</v>
      </c>
      <c r="AT426">
        <f t="shared" si="117"/>
        <v>0.0125</v>
      </c>
      <c r="AW426">
        <v>163.67</v>
      </c>
      <c r="AX426">
        <f t="shared" si="110"/>
        <v>0</v>
      </c>
      <c r="AY426">
        <f t="shared" si="118"/>
        <v>0</v>
      </c>
      <c r="AZ426">
        <f t="shared" si="125"/>
        <v>0</v>
      </c>
      <c r="BA426">
        <f t="shared" si="126"/>
        <v>0</v>
      </c>
      <c r="BB426">
        <f t="shared" si="119"/>
        <v>8867861.29797591</v>
      </c>
      <c r="BC426">
        <f t="shared" si="111"/>
        <v>110848.266224699</v>
      </c>
      <c r="BD426">
        <f t="shared" si="112"/>
        <v>0.0125</v>
      </c>
      <c r="BG426">
        <f t="shared" si="120"/>
        <v>0</v>
      </c>
      <c r="BH426">
        <f t="shared" si="121"/>
        <v>7170079.31508434</v>
      </c>
      <c r="BI426">
        <f t="shared" si="113"/>
        <v>89625.9914385543</v>
      </c>
      <c r="BJ426">
        <f t="shared" si="114"/>
        <v>0.0125</v>
      </c>
    </row>
    <row r="427" spans="39:62">
      <c r="AM427">
        <v>67.36</v>
      </c>
      <c r="AN427">
        <f t="shared" si="115"/>
        <v>0</v>
      </c>
      <c r="AO427">
        <f t="shared" si="122"/>
        <v>0</v>
      </c>
      <c r="AP427">
        <f t="shared" si="123"/>
        <v>0</v>
      </c>
      <c r="AQ427">
        <f t="shared" si="127"/>
        <v>0</v>
      </c>
      <c r="AR427">
        <f t="shared" si="124"/>
        <v>7718359.29251081</v>
      </c>
      <c r="AS427">
        <f t="shared" si="116"/>
        <v>96479.4911563852</v>
      </c>
      <c r="AT427">
        <f t="shared" si="117"/>
        <v>0.0125</v>
      </c>
      <c r="AW427">
        <v>163.73</v>
      </c>
      <c r="AX427">
        <f t="shared" si="110"/>
        <v>0</v>
      </c>
      <c r="AY427">
        <f t="shared" si="118"/>
        <v>0</v>
      </c>
      <c r="AZ427">
        <f t="shared" si="125"/>
        <v>0</v>
      </c>
      <c r="BA427">
        <f t="shared" si="126"/>
        <v>0</v>
      </c>
      <c r="BB427">
        <f t="shared" si="119"/>
        <v>8867861.29797591</v>
      </c>
      <c r="BC427">
        <f t="shared" si="111"/>
        <v>110848.266224699</v>
      </c>
      <c r="BD427">
        <f t="shared" si="112"/>
        <v>0.0125</v>
      </c>
      <c r="BG427">
        <f t="shared" si="120"/>
        <v>0</v>
      </c>
      <c r="BH427">
        <f t="shared" si="121"/>
        <v>7170079.31508434</v>
      </c>
      <c r="BI427">
        <f t="shared" si="113"/>
        <v>89625.9914385543</v>
      </c>
      <c r="BJ427">
        <f t="shared" si="114"/>
        <v>0.0125</v>
      </c>
    </row>
    <row r="428" spans="39:62">
      <c r="AM428">
        <v>67.515</v>
      </c>
      <c r="AN428">
        <f t="shared" si="115"/>
        <v>0</v>
      </c>
      <c r="AO428">
        <f t="shared" si="122"/>
        <v>0</v>
      </c>
      <c r="AP428">
        <f t="shared" si="123"/>
        <v>0</v>
      </c>
      <c r="AQ428">
        <f t="shared" si="127"/>
        <v>0</v>
      </c>
      <c r="AR428">
        <f t="shared" si="124"/>
        <v>7718359.29251081</v>
      </c>
      <c r="AS428">
        <f t="shared" si="116"/>
        <v>96479.4911563852</v>
      </c>
      <c r="AT428">
        <f t="shared" si="117"/>
        <v>0.0125</v>
      </c>
      <c r="AW428">
        <v>163.24</v>
      </c>
      <c r="AX428">
        <f t="shared" si="110"/>
        <v>0</v>
      </c>
      <c r="AY428">
        <f t="shared" si="118"/>
        <v>0</v>
      </c>
      <c r="AZ428">
        <f t="shared" si="125"/>
        <v>0</v>
      </c>
      <c r="BA428">
        <f t="shared" si="126"/>
        <v>0</v>
      </c>
      <c r="BB428">
        <f t="shared" si="119"/>
        <v>8867861.29797591</v>
      </c>
      <c r="BC428">
        <f t="shared" si="111"/>
        <v>110848.266224699</v>
      </c>
      <c r="BD428">
        <f t="shared" si="112"/>
        <v>0.0125</v>
      </c>
      <c r="BG428">
        <f t="shared" si="120"/>
        <v>0</v>
      </c>
      <c r="BH428">
        <f t="shared" si="121"/>
        <v>7170079.31508434</v>
      </c>
      <c r="BI428">
        <f t="shared" si="113"/>
        <v>89625.9914385543</v>
      </c>
      <c r="BJ428">
        <f t="shared" si="114"/>
        <v>0.0125</v>
      </c>
    </row>
    <row r="429" spans="39:62">
      <c r="AM429">
        <v>67.575</v>
      </c>
      <c r="AN429">
        <f t="shared" si="115"/>
        <v>0</v>
      </c>
      <c r="AO429">
        <f t="shared" si="122"/>
        <v>0</v>
      </c>
      <c r="AP429">
        <f t="shared" si="123"/>
        <v>0</v>
      </c>
      <c r="AQ429">
        <f t="shared" si="127"/>
        <v>0</v>
      </c>
      <c r="AR429">
        <f t="shared" si="124"/>
        <v>7718359.29251081</v>
      </c>
      <c r="AS429">
        <f t="shared" si="116"/>
        <v>96479.4911563852</v>
      </c>
      <c r="AT429">
        <f t="shared" si="117"/>
        <v>0.0125</v>
      </c>
      <c r="AW429">
        <v>163</v>
      </c>
      <c r="AX429">
        <f t="shared" si="110"/>
        <v>0</v>
      </c>
      <c r="AY429">
        <f t="shared" si="118"/>
        <v>0</v>
      </c>
      <c r="AZ429">
        <f t="shared" si="125"/>
        <v>0</v>
      </c>
      <c r="BA429">
        <f t="shared" si="126"/>
        <v>0</v>
      </c>
      <c r="BB429">
        <f t="shared" si="119"/>
        <v>8867861.29797591</v>
      </c>
      <c r="BC429">
        <f t="shared" si="111"/>
        <v>110848.266224699</v>
      </c>
      <c r="BD429">
        <f t="shared" si="112"/>
        <v>0.0125</v>
      </c>
      <c r="BG429">
        <f t="shared" si="120"/>
        <v>0</v>
      </c>
      <c r="BH429">
        <f t="shared" si="121"/>
        <v>7170079.31508434</v>
      </c>
      <c r="BI429">
        <f t="shared" si="113"/>
        <v>89625.9914385543</v>
      </c>
      <c r="BJ429">
        <f t="shared" si="114"/>
        <v>0.0125</v>
      </c>
    </row>
    <row r="430" spans="39:62">
      <c r="AM430">
        <v>67.1</v>
      </c>
      <c r="AN430">
        <f t="shared" si="115"/>
        <v>0</v>
      </c>
      <c r="AO430">
        <f t="shared" si="122"/>
        <v>0</v>
      </c>
      <c r="AP430">
        <f t="shared" si="123"/>
        <v>0</v>
      </c>
      <c r="AQ430">
        <f t="shared" si="127"/>
        <v>0</v>
      </c>
      <c r="AR430">
        <f t="shared" si="124"/>
        <v>7718359.29251081</v>
      </c>
      <c r="AS430">
        <f t="shared" si="116"/>
        <v>96479.4911563852</v>
      </c>
      <c r="AT430">
        <f t="shared" si="117"/>
        <v>0.0125</v>
      </c>
      <c r="AW430">
        <v>163.06</v>
      </c>
      <c r="AX430">
        <f t="shared" si="110"/>
        <v>0</v>
      </c>
      <c r="AY430">
        <f t="shared" si="118"/>
        <v>0</v>
      </c>
      <c r="AZ430">
        <f t="shared" si="125"/>
        <v>0</v>
      </c>
      <c r="BA430">
        <f t="shared" si="126"/>
        <v>0</v>
      </c>
      <c r="BB430">
        <f t="shared" si="119"/>
        <v>8867861.29797591</v>
      </c>
      <c r="BC430">
        <f t="shared" si="111"/>
        <v>110848.266224699</v>
      </c>
      <c r="BD430">
        <f t="shared" si="112"/>
        <v>0.0125</v>
      </c>
      <c r="BG430">
        <f t="shared" si="120"/>
        <v>0</v>
      </c>
      <c r="BH430">
        <f t="shared" si="121"/>
        <v>7170079.31508434</v>
      </c>
      <c r="BI430">
        <f t="shared" si="113"/>
        <v>89625.9914385543</v>
      </c>
      <c r="BJ430">
        <f t="shared" si="114"/>
        <v>0.0125</v>
      </c>
    </row>
    <row r="431" spans="39:62">
      <c r="AM431">
        <v>67.96</v>
      </c>
      <c r="AN431">
        <f t="shared" si="115"/>
        <v>0</v>
      </c>
      <c r="AO431">
        <f t="shared" si="122"/>
        <v>0</v>
      </c>
      <c r="AP431">
        <f t="shared" si="123"/>
        <v>0</v>
      </c>
      <c r="AQ431">
        <f t="shared" si="127"/>
        <v>0</v>
      </c>
      <c r="AR431">
        <f t="shared" si="124"/>
        <v>7718359.29251081</v>
      </c>
      <c r="AS431">
        <f t="shared" si="116"/>
        <v>96479.4911563852</v>
      </c>
      <c r="AT431">
        <f t="shared" si="117"/>
        <v>0.0125</v>
      </c>
      <c r="AW431">
        <v>163.09</v>
      </c>
      <c r="AX431">
        <f t="shared" si="110"/>
        <v>0</v>
      </c>
      <c r="AY431">
        <f t="shared" si="118"/>
        <v>0</v>
      </c>
      <c r="AZ431">
        <f t="shared" si="125"/>
        <v>0</v>
      </c>
      <c r="BA431">
        <f t="shared" si="126"/>
        <v>0</v>
      </c>
      <c r="BB431">
        <f t="shared" si="119"/>
        <v>8867861.29797591</v>
      </c>
      <c r="BC431">
        <f t="shared" si="111"/>
        <v>110848.266224699</v>
      </c>
      <c r="BD431">
        <f t="shared" si="112"/>
        <v>0.0125</v>
      </c>
      <c r="BG431">
        <f t="shared" si="120"/>
        <v>0</v>
      </c>
      <c r="BH431">
        <f t="shared" si="121"/>
        <v>7170079.31508434</v>
      </c>
      <c r="BI431">
        <f t="shared" si="113"/>
        <v>89625.9914385543</v>
      </c>
      <c r="BJ431">
        <f t="shared" si="114"/>
        <v>0.0125</v>
      </c>
    </row>
    <row r="432" spans="39:62">
      <c r="AM432">
        <v>67.81</v>
      </c>
      <c r="AN432">
        <f t="shared" si="115"/>
        <v>0</v>
      </c>
      <c r="AO432">
        <f t="shared" si="122"/>
        <v>0</v>
      </c>
      <c r="AP432">
        <f t="shared" si="123"/>
        <v>0</v>
      </c>
      <c r="AQ432">
        <f t="shared" si="127"/>
        <v>0</v>
      </c>
      <c r="AR432">
        <f t="shared" si="124"/>
        <v>7718359.29251081</v>
      </c>
      <c r="AS432">
        <f t="shared" si="116"/>
        <v>96479.4911563852</v>
      </c>
      <c r="AT432">
        <f t="shared" si="117"/>
        <v>0.0125</v>
      </c>
      <c r="AW432">
        <v>162.64</v>
      </c>
      <c r="AX432">
        <f t="shared" si="110"/>
        <v>0</v>
      </c>
      <c r="AY432">
        <f t="shared" si="118"/>
        <v>0</v>
      </c>
      <c r="AZ432">
        <f t="shared" si="125"/>
        <v>0</v>
      </c>
      <c r="BA432">
        <f t="shared" si="126"/>
        <v>0</v>
      </c>
      <c r="BB432">
        <f t="shared" si="119"/>
        <v>8867861.29797591</v>
      </c>
      <c r="BC432">
        <f t="shared" si="111"/>
        <v>110848.266224699</v>
      </c>
      <c r="BD432">
        <f t="shared" si="112"/>
        <v>0.0125</v>
      </c>
      <c r="BG432">
        <f t="shared" si="120"/>
        <v>0</v>
      </c>
      <c r="BH432">
        <f t="shared" si="121"/>
        <v>7170079.31508434</v>
      </c>
      <c r="BI432">
        <f t="shared" si="113"/>
        <v>89625.9914385543</v>
      </c>
      <c r="BJ432">
        <f t="shared" si="114"/>
        <v>0.0125</v>
      </c>
    </row>
    <row r="433" spans="39:62">
      <c r="AM433">
        <v>67.965</v>
      </c>
      <c r="AN433">
        <f t="shared" si="115"/>
        <v>0</v>
      </c>
      <c r="AO433">
        <f t="shared" si="122"/>
        <v>0</v>
      </c>
      <c r="AP433">
        <f t="shared" si="123"/>
        <v>0</v>
      </c>
      <c r="AQ433">
        <f t="shared" si="127"/>
        <v>0</v>
      </c>
      <c r="AR433">
        <f t="shared" si="124"/>
        <v>7718359.29251081</v>
      </c>
      <c r="AS433">
        <f t="shared" si="116"/>
        <v>96479.4911563852</v>
      </c>
      <c r="AT433">
        <f t="shared" si="117"/>
        <v>0.0125</v>
      </c>
      <c r="AW433">
        <v>162.52</v>
      </c>
      <c r="AX433">
        <f t="shared" si="110"/>
        <v>0</v>
      </c>
      <c r="AY433">
        <f t="shared" si="118"/>
        <v>0</v>
      </c>
      <c r="AZ433">
        <f t="shared" si="125"/>
        <v>0</v>
      </c>
      <c r="BA433">
        <f t="shared" si="126"/>
        <v>0</v>
      </c>
      <c r="BB433">
        <f t="shared" si="119"/>
        <v>8867861.29797591</v>
      </c>
      <c r="BC433">
        <f t="shared" si="111"/>
        <v>110848.266224699</v>
      </c>
      <c r="BD433">
        <f t="shared" si="112"/>
        <v>0.0125</v>
      </c>
      <c r="BG433">
        <f t="shared" si="120"/>
        <v>0</v>
      </c>
      <c r="BH433">
        <f t="shared" si="121"/>
        <v>7170079.31508434</v>
      </c>
      <c r="BI433">
        <f t="shared" si="113"/>
        <v>89625.9914385543</v>
      </c>
      <c r="BJ433">
        <f t="shared" si="114"/>
        <v>0.0125</v>
      </c>
    </row>
    <row r="434" spans="39:62">
      <c r="AM434">
        <v>67.815</v>
      </c>
      <c r="AN434">
        <f t="shared" si="115"/>
        <v>0</v>
      </c>
      <c r="AO434">
        <f t="shared" si="122"/>
        <v>0</v>
      </c>
      <c r="AP434">
        <f t="shared" si="123"/>
        <v>0</v>
      </c>
      <c r="AQ434">
        <f t="shared" si="127"/>
        <v>0</v>
      </c>
      <c r="AR434">
        <f t="shared" si="124"/>
        <v>7718359.29251081</v>
      </c>
      <c r="AS434">
        <f t="shared" si="116"/>
        <v>96479.4911563852</v>
      </c>
      <c r="AT434">
        <f t="shared" si="117"/>
        <v>0.0125</v>
      </c>
      <c r="AW434">
        <v>162.18</v>
      </c>
      <c r="AX434">
        <f t="shared" si="110"/>
        <v>0</v>
      </c>
      <c r="AY434">
        <f t="shared" si="118"/>
        <v>0</v>
      </c>
      <c r="AZ434">
        <f t="shared" si="125"/>
        <v>0</v>
      </c>
      <c r="BA434">
        <f t="shared" si="126"/>
        <v>0</v>
      </c>
      <c r="BB434">
        <f t="shared" si="119"/>
        <v>8867861.29797591</v>
      </c>
      <c r="BC434">
        <f t="shared" si="111"/>
        <v>110848.266224699</v>
      </c>
      <c r="BD434">
        <f t="shared" si="112"/>
        <v>0.0125</v>
      </c>
      <c r="BG434">
        <f t="shared" si="120"/>
        <v>0</v>
      </c>
      <c r="BH434">
        <f t="shared" si="121"/>
        <v>7170079.31508434</v>
      </c>
      <c r="BI434">
        <f t="shared" si="113"/>
        <v>89625.9914385543</v>
      </c>
      <c r="BJ434">
        <f t="shared" si="114"/>
        <v>0.0125</v>
      </c>
    </row>
    <row r="435" spans="39:62">
      <c r="AM435">
        <v>68.015</v>
      </c>
      <c r="AN435">
        <f t="shared" si="115"/>
        <v>0</v>
      </c>
      <c r="AO435">
        <f t="shared" si="122"/>
        <v>0</v>
      </c>
      <c r="AP435">
        <f t="shared" si="123"/>
        <v>0</v>
      </c>
      <c r="AQ435">
        <f t="shared" si="127"/>
        <v>0</v>
      </c>
      <c r="AR435">
        <f t="shared" si="124"/>
        <v>7718359.29251081</v>
      </c>
      <c r="AS435">
        <f t="shared" si="116"/>
        <v>96479.4911563852</v>
      </c>
      <c r="AT435">
        <f t="shared" si="117"/>
        <v>0.0125</v>
      </c>
      <c r="AW435">
        <v>162.98</v>
      </c>
      <c r="AX435">
        <f t="shared" si="110"/>
        <v>0</v>
      </c>
      <c r="AY435">
        <f t="shared" si="118"/>
        <v>0</v>
      </c>
      <c r="AZ435">
        <f t="shared" si="125"/>
        <v>0</v>
      </c>
      <c r="BA435">
        <f t="shared" si="126"/>
        <v>0</v>
      </c>
      <c r="BB435">
        <f t="shared" si="119"/>
        <v>8867861.29797591</v>
      </c>
      <c r="BC435">
        <f t="shared" si="111"/>
        <v>110848.266224699</v>
      </c>
      <c r="BD435">
        <f t="shared" si="112"/>
        <v>0.0125</v>
      </c>
      <c r="BG435">
        <f t="shared" si="120"/>
        <v>0</v>
      </c>
      <c r="BH435">
        <f t="shared" si="121"/>
        <v>7170079.31508434</v>
      </c>
      <c r="BI435">
        <f t="shared" si="113"/>
        <v>89625.9914385543</v>
      </c>
      <c r="BJ435">
        <f t="shared" si="114"/>
        <v>0.0125</v>
      </c>
    </row>
    <row r="436" spans="39:62">
      <c r="AM436">
        <v>68.015</v>
      </c>
      <c r="AN436">
        <f t="shared" si="115"/>
        <v>0</v>
      </c>
      <c r="AO436">
        <f t="shared" si="122"/>
        <v>0</v>
      </c>
      <c r="AP436">
        <f t="shared" si="123"/>
        <v>0</v>
      </c>
      <c r="AQ436">
        <f t="shared" si="127"/>
        <v>0</v>
      </c>
      <c r="AR436">
        <f t="shared" si="124"/>
        <v>7718359.29251081</v>
      </c>
      <c r="AS436">
        <f t="shared" si="116"/>
        <v>96479.4911563852</v>
      </c>
      <c r="AT436">
        <f t="shared" si="117"/>
        <v>0.0125</v>
      </c>
      <c r="AW436">
        <v>163.27</v>
      </c>
      <c r="AX436">
        <f t="shared" si="110"/>
        <v>0</v>
      </c>
      <c r="AY436">
        <f t="shared" si="118"/>
        <v>0</v>
      </c>
      <c r="AZ436">
        <f t="shared" si="125"/>
        <v>0</v>
      </c>
      <c r="BA436">
        <f t="shared" si="126"/>
        <v>0</v>
      </c>
      <c r="BB436">
        <f t="shared" si="119"/>
        <v>8867861.29797591</v>
      </c>
      <c r="BC436">
        <f t="shared" si="111"/>
        <v>110848.266224699</v>
      </c>
      <c r="BD436">
        <f t="shared" si="112"/>
        <v>0.0125</v>
      </c>
      <c r="BG436">
        <f t="shared" si="120"/>
        <v>0</v>
      </c>
      <c r="BH436">
        <f t="shared" si="121"/>
        <v>7170079.31508434</v>
      </c>
      <c r="BI436">
        <f t="shared" si="113"/>
        <v>89625.9914385543</v>
      </c>
      <c r="BJ436">
        <f t="shared" si="114"/>
        <v>0.0125</v>
      </c>
    </row>
    <row r="437" spans="39:62">
      <c r="AM437">
        <v>67.695</v>
      </c>
      <c r="AN437">
        <f t="shared" si="115"/>
        <v>0</v>
      </c>
      <c r="AO437">
        <f t="shared" si="122"/>
        <v>0</v>
      </c>
      <c r="AP437">
        <f t="shared" si="123"/>
        <v>0</v>
      </c>
      <c r="AQ437">
        <f t="shared" si="127"/>
        <v>0</v>
      </c>
      <c r="AR437">
        <f t="shared" si="124"/>
        <v>7718359.29251081</v>
      </c>
      <c r="AS437">
        <f t="shared" si="116"/>
        <v>96479.4911563852</v>
      </c>
      <c r="AT437">
        <f t="shared" si="117"/>
        <v>0.0125</v>
      </c>
      <c r="AW437">
        <v>160.71</v>
      </c>
      <c r="AX437">
        <f t="shared" si="110"/>
        <v>0</v>
      </c>
      <c r="AY437">
        <f t="shared" si="118"/>
        <v>0</v>
      </c>
      <c r="AZ437">
        <f t="shared" si="125"/>
        <v>0</v>
      </c>
      <c r="BA437">
        <f t="shared" si="126"/>
        <v>0</v>
      </c>
      <c r="BB437">
        <f t="shared" si="119"/>
        <v>8867861.29797591</v>
      </c>
      <c r="BC437">
        <f t="shared" si="111"/>
        <v>110848.266224699</v>
      </c>
      <c r="BD437">
        <f t="shared" si="112"/>
        <v>0.0125</v>
      </c>
      <c r="BG437">
        <f t="shared" si="120"/>
        <v>0</v>
      </c>
      <c r="BH437">
        <f t="shared" si="121"/>
        <v>7170079.31508434</v>
      </c>
      <c r="BI437">
        <f t="shared" si="113"/>
        <v>89625.9914385543</v>
      </c>
      <c r="BJ437">
        <f t="shared" si="114"/>
        <v>0.0125</v>
      </c>
    </row>
    <row r="438" spans="39:62">
      <c r="AM438">
        <v>67.165</v>
      </c>
      <c r="AN438">
        <f t="shared" si="115"/>
        <v>0</v>
      </c>
      <c r="AO438">
        <f t="shared" si="122"/>
        <v>0</v>
      </c>
      <c r="AP438">
        <f t="shared" si="123"/>
        <v>0</v>
      </c>
      <c r="AQ438">
        <f t="shared" si="127"/>
        <v>0</v>
      </c>
      <c r="AR438">
        <f t="shared" si="124"/>
        <v>7718359.29251081</v>
      </c>
      <c r="AS438">
        <f t="shared" si="116"/>
        <v>96479.4911563852</v>
      </c>
      <c r="AT438">
        <f t="shared" si="117"/>
        <v>0.0125</v>
      </c>
      <c r="AW438">
        <v>160.35</v>
      </c>
      <c r="AX438">
        <f t="shared" si="110"/>
        <v>0</v>
      </c>
      <c r="AY438">
        <f t="shared" si="118"/>
        <v>0</v>
      </c>
      <c r="AZ438">
        <f t="shared" si="125"/>
        <v>0</v>
      </c>
      <c r="BA438">
        <f t="shared" si="126"/>
        <v>0</v>
      </c>
      <c r="BB438">
        <f t="shared" si="119"/>
        <v>8867861.29797591</v>
      </c>
      <c r="BC438">
        <f t="shared" si="111"/>
        <v>110848.266224699</v>
      </c>
      <c r="BD438">
        <f t="shared" si="112"/>
        <v>0.0125</v>
      </c>
      <c r="BG438">
        <f t="shared" si="120"/>
        <v>0</v>
      </c>
      <c r="BH438">
        <f t="shared" si="121"/>
        <v>7170079.31508434</v>
      </c>
      <c r="BI438">
        <f t="shared" si="113"/>
        <v>89625.9914385543</v>
      </c>
      <c r="BJ438">
        <f t="shared" si="114"/>
        <v>0.0125</v>
      </c>
    </row>
    <row r="439" spans="39:62">
      <c r="AM439">
        <v>67.18</v>
      </c>
      <c r="AN439">
        <f t="shared" si="115"/>
        <v>0</v>
      </c>
      <c r="AO439">
        <f t="shared" si="122"/>
        <v>0</v>
      </c>
      <c r="AP439">
        <f t="shared" si="123"/>
        <v>0</v>
      </c>
      <c r="AQ439">
        <f t="shared" si="127"/>
        <v>0</v>
      </c>
      <c r="AR439">
        <f t="shared" si="124"/>
        <v>7718359.29251081</v>
      </c>
      <c r="AS439">
        <f t="shared" si="116"/>
        <v>96479.4911563852</v>
      </c>
      <c r="AT439">
        <f t="shared" si="117"/>
        <v>0.0125</v>
      </c>
      <c r="AW439">
        <v>159.92</v>
      </c>
      <c r="AX439">
        <f t="shared" si="110"/>
        <v>0</v>
      </c>
      <c r="AY439">
        <f t="shared" si="118"/>
        <v>0</v>
      </c>
      <c r="AZ439">
        <f t="shared" si="125"/>
        <v>0</v>
      </c>
      <c r="BA439">
        <f t="shared" si="126"/>
        <v>0</v>
      </c>
      <c r="BB439">
        <f t="shared" si="119"/>
        <v>8867861.29797591</v>
      </c>
      <c r="BC439">
        <f t="shared" si="111"/>
        <v>110848.266224699</v>
      </c>
      <c r="BD439">
        <f t="shared" si="112"/>
        <v>0.0125</v>
      </c>
      <c r="BG439">
        <f t="shared" si="120"/>
        <v>0</v>
      </c>
      <c r="BH439">
        <f t="shared" si="121"/>
        <v>7170079.31508434</v>
      </c>
      <c r="BI439">
        <f t="shared" si="113"/>
        <v>89625.9914385543</v>
      </c>
      <c r="BJ439">
        <f t="shared" si="114"/>
        <v>0.0125</v>
      </c>
    </row>
    <row r="440" spans="39:62">
      <c r="AM440">
        <v>67.37</v>
      </c>
      <c r="AN440">
        <f t="shared" si="115"/>
        <v>0</v>
      </c>
      <c r="AO440">
        <f t="shared" si="122"/>
        <v>0</v>
      </c>
      <c r="AP440">
        <f t="shared" si="123"/>
        <v>0</v>
      </c>
      <c r="AQ440">
        <f t="shared" si="127"/>
        <v>0</v>
      </c>
      <c r="AR440">
        <f t="shared" si="124"/>
        <v>7718359.29251081</v>
      </c>
      <c r="AS440">
        <f t="shared" si="116"/>
        <v>96479.4911563852</v>
      </c>
      <c r="AT440">
        <f t="shared" si="117"/>
        <v>0.0125</v>
      </c>
      <c r="AW440">
        <v>160.43</v>
      </c>
      <c r="AX440">
        <f t="shared" si="110"/>
        <v>0</v>
      </c>
      <c r="AY440">
        <f t="shared" si="118"/>
        <v>0</v>
      </c>
      <c r="AZ440">
        <f t="shared" si="125"/>
        <v>0</v>
      </c>
      <c r="BA440">
        <f t="shared" si="126"/>
        <v>0</v>
      </c>
      <c r="BB440">
        <f t="shared" si="119"/>
        <v>8867861.29797591</v>
      </c>
      <c r="BC440">
        <f t="shared" si="111"/>
        <v>110848.266224699</v>
      </c>
      <c r="BD440">
        <f t="shared" si="112"/>
        <v>0.0125</v>
      </c>
      <c r="BG440">
        <f t="shared" si="120"/>
        <v>0</v>
      </c>
      <c r="BH440">
        <f t="shared" si="121"/>
        <v>7170079.31508434</v>
      </c>
      <c r="BI440">
        <f t="shared" si="113"/>
        <v>89625.9914385543</v>
      </c>
      <c r="BJ440">
        <f t="shared" si="114"/>
        <v>0.0125</v>
      </c>
    </row>
    <row r="441" spans="39:62">
      <c r="AM441">
        <v>66.725</v>
      </c>
      <c r="AN441">
        <f t="shared" si="115"/>
        <v>0</v>
      </c>
      <c r="AO441">
        <f t="shared" si="122"/>
        <v>0</v>
      </c>
      <c r="AP441">
        <f t="shared" si="123"/>
        <v>0</v>
      </c>
      <c r="AQ441">
        <f t="shared" si="127"/>
        <v>0</v>
      </c>
      <c r="AR441">
        <f t="shared" si="124"/>
        <v>7718359.29251081</v>
      </c>
      <c r="AS441">
        <f t="shared" si="116"/>
        <v>96479.4911563852</v>
      </c>
      <c r="AT441">
        <f t="shared" si="117"/>
        <v>0.0125</v>
      </c>
      <c r="AW441">
        <v>159.95</v>
      </c>
      <c r="AX441">
        <f t="shared" si="110"/>
        <v>0</v>
      </c>
      <c r="AY441">
        <f t="shared" si="118"/>
        <v>0</v>
      </c>
      <c r="AZ441">
        <f t="shared" si="125"/>
        <v>0</v>
      </c>
      <c r="BA441">
        <f t="shared" si="126"/>
        <v>0</v>
      </c>
      <c r="BB441">
        <f t="shared" si="119"/>
        <v>8867861.29797591</v>
      </c>
      <c r="BC441">
        <f t="shared" si="111"/>
        <v>110848.266224699</v>
      </c>
      <c r="BD441">
        <f t="shared" si="112"/>
        <v>0.0125</v>
      </c>
      <c r="BG441">
        <f t="shared" si="120"/>
        <v>0</v>
      </c>
      <c r="BH441">
        <f t="shared" si="121"/>
        <v>7170079.31508434</v>
      </c>
      <c r="BI441">
        <f t="shared" si="113"/>
        <v>89625.9914385543</v>
      </c>
      <c r="BJ441">
        <f t="shared" si="114"/>
        <v>0.0125</v>
      </c>
    </row>
    <row r="442" spans="39:62">
      <c r="AM442">
        <v>66.6</v>
      </c>
      <c r="AN442">
        <f t="shared" si="115"/>
        <v>0</v>
      </c>
      <c r="AO442">
        <f t="shared" si="122"/>
        <v>0</v>
      </c>
      <c r="AP442">
        <f t="shared" si="123"/>
        <v>0</v>
      </c>
      <c r="AQ442">
        <f t="shared" si="127"/>
        <v>0</v>
      </c>
      <c r="AR442">
        <f t="shared" si="124"/>
        <v>7718359.29251081</v>
      </c>
      <c r="AS442">
        <f t="shared" si="116"/>
        <v>96479.4911563852</v>
      </c>
      <c r="AT442">
        <f t="shared" si="117"/>
        <v>0.0125</v>
      </c>
      <c r="AW442">
        <v>159.69</v>
      </c>
      <c r="AX442">
        <f t="shared" si="110"/>
        <v>0</v>
      </c>
      <c r="AY442">
        <f t="shared" si="118"/>
        <v>0</v>
      </c>
      <c r="AZ442">
        <f t="shared" si="125"/>
        <v>0</v>
      </c>
      <c r="BA442">
        <f t="shared" si="126"/>
        <v>0</v>
      </c>
      <c r="BB442">
        <f t="shared" si="119"/>
        <v>8867861.29797591</v>
      </c>
      <c r="BC442">
        <f t="shared" si="111"/>
        <v>110848.266224699</v>
      </c>
      <c r="BD442">
        <f t="shared" si="112"/>
        <v>0.0125</v>
      </c>
      <c r="BG442">
        <f t="shared" si="120"/>
        <v>0</v>
      </c>
      <c r="BH442">
        <f t="shared" si="121"/>
        <v>7170079.31508434</v>
      </c>
      <c r="BI442">
        <f t="shared" si="113"/>
        <v>89625.9914385543</v>
      </c>
      <c r="BJ442">
        <f t="shared" si="114"/>
        <v>0.0125</v>
      </c>
    </row>
    <row r="443" spans="39:62">
      <c r="AM443">
        <v>66.6</v>
      </c>
      <c r="AN443">
        <f t="shared" si="115"/>
        <v>0</v>
      </c>
      <c r="AO443">
        <f t="shared" si="122"/>
        <v>0</v>
      </c>
      <c r="AP443">
        <f t="shared" si="123"/>
        <v>0</v>
      </c>
      <c r="AQ443">
        <f t="shared" si="127"/>
        <v>0</v>
      </c>
      <c r="AR443">
        <f t="shared" si="124"/>
        <v>7718359.29251081</v>
      </c>
      <c r="AS443">
        <f t="shared" si="116"/>
        <v>96479.4911563852</v>
      </c>
      <c r="AT443">
        <f t="shared" si="117"/>
        <v>0.0125</v>
      </c>
      <c r="AW443">
        <v>159.3</v>
      </c>
      <c r="AX443">
        <f t="shared" si="110"/>
        <v>0</v>
      </c>
      <c r="AY443">
        <f t="shared" si="118"/>
        <v>0</v>
      </c>
      <c r="AZ443">
        <f t="shared" si="125"/>
        <v>0</v>
      </c>
      <c r="BA443">
        <f t="shared" si="126"/>
        <v>0</v>
      </c>
      <c r="BB443">
        <f t="shared" si="119"/>
        <v>8867861.29797591</v>
      </c>
      <c r="BC443">
        <f t="shared" si="111"/>
        <v>110848.266224699</v>
      </c>
      <c r="BD443">
        <f t="shared" si="112"/>
        <v>0.0125</v>
      </c>
      <c r="BG443">
        <f t="shared" si="120"/>
        <v>0</v>
      </c>
      <c r="BH443">
        <f t="shared" si="121"/>
        <v>7170079.31508434</v>
      </c>
      <c r="BI443">
        <f t="shared" si="113"/>
        <v>89625.9914385543</v>
      </c>
      <c r="BJ443">
        <f t="shared" si="114"/>
        <v>0.0125</v>
      </c>
    </row>
    <row r="444" spans="39:62">
      <c r="AM444">
        <v>66.79</v>
      </c>
      <c r="AN444">
        <f t="shared" si="115"/>
        <v>0</v>
      </c>
      <c r="AO444">
        <f t="shared" si="122"/>
        <v>0</v>
      </c>
      <c r="AP444">
        <f t="shared" si="123"/>
        <v>0</v>
      </c>
      <c r="AQ444">
        <f t="shared" si="127"/>
        <v>0</v>
      </c>
      <c r="AR444">
        <f t="shared" si="124"/>
        <v>7718359.29251081</v>
      </c>
      <c r="AS444">
        <f t="shared" si="116"/>
        <v>96479.4911563852</v>
      </c>
      <c r="AT444">
        <f t="shared" si="117"/>
        <v>0.0125</v>
      </c>
      <c r="AW444">
        <v>159.63</v>
      </c>
      <c r="AX444">
        <f t="shared" si="110"/>
        <v>0</v>
      </c>
      <c r="AY444">
        <f t="shared" si="118"/>
        <v>0</v>
      </c>
      <c r="AZ444">
        <f t="shared" si="125"/>
        <v>0</v>
      </c>
      <c r="BA444">
        <f t="shared" si="126"/>
        <v>0</v>
      </c>
      <c r="BB444">
        <f t="shared" si="119"/>
        <v>8867861.29797591</v>
      </c>
      <c r="BC444">
        <f t="shared" si="111"/>
        <v>110848.266224699</v>
      </c>
      <c r="BD444">
        <f t="shared" si="112"/>
        <v>0.0125</v>
      </c>
      <c r="BG444">
        <f t="shared" si="120"/>
        <v>0</v>
      </c>
      <c r="BH444">
        <f t="shared" si="121"/>
        <v>7170079.31508434</v>
      </c>
      <c r="BI444">
        <f t="shared" si="113"/>
        <v>89625.9914385543</v>
      </c>
      <c r="BJ444">
        <f t="shared" si="114"/>
        <v>0.0125</v>
      </c>
    </row>
    <row r="445" spans="39:62">
      <c r="AM445">
        <v>67.28</v>
      </c>
      <c r="AN445">
        <f t="shared" si="115"/>
        <v>0</v>
      </c>
      <c r="AO445">
        <f t="shared" si="122"/>
        <v>0</v>
      </c>
      <c r="AP445">
        <f t="shared" si="123"/>
        <v>0</v>
      </c>
      <c r="AQ445">
        <f t="shared" si="127"/>
        <v>0</v>
      </c>
      <c r="AR445">
        <f t="shared" si="124"/>
        <v>7718359.29251081</v>
      </c>
      <c r="AS445">
        <f t="shared" si="116"/>
        <v>96479.4911563852</v>
      </c>
      <c r="AT445">
        <f t="shared" si="117"/>
        <v>0.0125</v>
      </c>
      <c r="AW445">
        <v>159.46</v>
      </c>
      <c r="AX445">
        <f t="shared" si="110"/>
        <v>0</v>
      </c>
      <c r="AY445">
        <f t="shared" si="118"/>
        <v>0</v>
      </c>
      <c r="AZ445">
        <f t="shared" si="125"/>
        <v>0</v>
      </c>
      <c r="BA445">
        <f t="shared" si="126"/>
        <v>0</v>
      </c>
      <c r="BB445">
        <f t="shared" si="119"/>
        <v>8867861.29797591</v>
      </c>
      <c r="BC445">
        <f t="shared" si="111"/>
        <v>110848.266224699</v>
      </c>
      <c r="BD445">
        <f t="shared" si="112"/>
        <v>0.0125</v>
      </c>
      <c r="BG445">
        <f t="shared" si="120"/>
        <v>0</v>
      </c>
      <c r="BH445">
        <f t="shared" si="121"/>
        <v>7170079.31508434</v>
      </c>
      <c r="BI445">
        <f t="shared" si="113"/>
        <v>89625.9914385543</v>
      </c>
      <c r="BJ445">
        <f t="shared" si="114"/>
        <v>0.0125</v>
      </c>
    </row>
    <row r="446" spans="39:62">
      <c r="AM446">
        <v>67.12</v>
      </c>
      <c r="AN446">
        <f t="shared" si="115"/>
        <v>0</v>
      </c>
      <c r="AO446">
        <f t="shared" si="122"/>
        <v>0</v>
      </c>
      <c r="AP446">
        <f t="shared" si="123"/>
        <v>0</v>
      </c>
      <c r="AQ446">
        <f t="shared" si="127"/>
        <v>0</v>
      </c>
      <c r="AR446">
        <f t="shared" si="124"/>
        <v>7718359.29251081</v>
      </c>
      <c r="AS446">
        <f t="shared" si="116"/>
        <v>96479.4911563852</v>
      </c>
      <c r="AT446">
        <f t="shared" si="117"/>
        <v>0.0125</v>
      </c>
      <c r="AW446">
        <v>159.17</v>
      </c>
      <c r="AX446">
        <f t="shared" si="110"/>
        <v>0</v>
      </c>
      <c r="AY446">
        <f t="shared" si="118"/>
        <v>0</v>
      </c>
      <c r="AZ446">
        <f t="shared" si="125"/>
        <v>0</v>
      </c>
      <c r="BA446">
        <f t="shared" si="126"/>
        <v>0</v>
      </c>
      <c r="BB446">
        <f t="shared" si="119"/>
        <v>8867861.29797591</v>
      </c>
      <c r="BC446">
        <f t="shared" si="111"/>
        <v>110848.266224699</v>
      </c>
      <c r="BD446">
        <f t="shared" si="112"/>
        <v>0.0125</v>
      </c>
      <c r="BG446">
        <f t="shared" si="120"/>
        <v>0</v>
      </c>
      <c r="BH446">
        <f t="shared" si="121"/>
        <v>7170079.31508434</v>
      </c>
      <c r="BI446">
        <f t="shared" si="113"/>
        <v>89625.9914385543</v>
      </c>
      <c r="BJ446">
        <f t="shared" si="114"/>
        <v>0.0125</v>
      </c>
    </row>
    <row r="447" spans="39:62">
      <c r="AM447">
        <v>67.515</v>
      </c>
      <c r="AN447">
        <f t="shared" si="115"/>
        <v>0</v>
      </c>
      <c r="AO447">
        <f t="shared" si="122"/>
        <v>0</v>
      </c>
      <c r="AP447">
        <f t="shared" si="123"/>
        <v>0</v>
      </c>
      <c r="AQ447">
        <f t="shared" si="127"/>
        <v>0</v>
      </c>
      <c r="AR447">
        <f t="shared" si="124"/>
        <v>7718359.29251081</v>
      </c>
      <c r="AS447">
        <f t="shared" si="116"/>
        <v>96479.4911563852</v>
      </c>
      <c r="AT447">
        <f t="shared" si="117"/>
        <v>0.0125</v>
      </c>
      <c r="AW447">
        <v>159.02</v>
      </c>
      <c r="AX447">
        <f t="shared" si="110"/>
        <v>0</v>
      </c>
      <c r="AY447">
        <f t="shared" si="118"/>
        <v>0</v>
      </c>
      <c r="AZ447">
        <f t="shared" si="125"/>
        <v>0</v>
      </c>
      <c r="BA447">
        <f t="shared" si="126"/>
        <v>0</v>
      </c>
      <c r="BB447">
        <f t="shared" si="119"/>
        <v>8867861.29797591</v>
      </c>
      <c r="BC447">
        <f t="shared" si="111"/>
        <v>110848.266224699</v>
      </c>
      <c r="BD447">
        <f t="shared" si="112"/>
        <v>0.0125</v>
      </c>
      <c r="BG447">
        <f t="shared" si="120"/>
        <v>0</v>
      </c>
      <c r="BH447">
        <f t="shared" si="121"/>
        <v>7170079.31508434</v>
      </c>
      <c r="BI447">
        <f t="shared" si="113"/>
        <v>89625.9914385543</v>
      </c>
      <c r="BJ447">
        <f t="shared" si="114"/>
        <v>0.0125</v>
      </c>
    </row>
    <row r="448" spans="39:62">
      <c r="AM448">
        <v>67.68</v>
      </c>
      <c r="AN448">
        <f t="shared" si="115"/>
        <v>0</v>
      </c>
      <c r="AO448">
        <f t="shared" si="122"/>
        <v>0</v>
      </c>
      <c r="AP448">
        <f t="shared" si="123"/>
        <v>0</v>
      </c>
      <c r="AQ448">
        <f t="shared" si="127"/>
        <v>0</v>
      </c>
      <c r="AR448">
        <f t="shared" si="124"/>
        <v>7718359.29251081</v>
      </c>
      <c r="AS448">
        <f t="shared" si="116"/>
        <v>96479.4911563852</v>
      </c>
      <c r="AT448">
        <f t="shared" si="117"/>
        <v>0.0125</v>
      </c>
      <c r="AW448">
        <v>158.74</v>
      </c>
      <c r="AX448">
        <f t="shared" si="110"/>
        <v>0</v>
      </c>
      <c r="AY448">
        <f t="shared" si="118"/>
        <v>0</v>
      </c>
      <c r="AZ448">
        <f t="shared" si="125"/>
        <v>0</v>
      </c>
      <c r="BA448">
        <f t="shared" si="126"/>
        <v>0</v>
      </c>
      <c r="BB448">
        <f t="shared" si="119"/>
        <v>8867861.29797591</v>
      </c>
      <c r="BC448">
        <f t="shared" si="111"/>
        <v>110848.266224699</v>
      </c>
      <c r="BD448">
        <f t="shared" si="112"/>
        <v>0.0125</v>
      </c>
      <c r="BG448">
        <f t="shared" si="120"/>
        <v>0</v>
      </c>
      <c r="BH448">
        <f t="shared" si="121"/>
        <v>7170079.31508434</v>
      </c>
      <c r="BI448">
        <f t="shared" si="113"/>
        <v>89625.9914385543</v>
      </c>
      <c r="BJ448">
        <f t="shared" si="114"/>
        <v>0.0125</v>
      </c>
    </row>
    <row r="449" spans="39:62">
      <c r="AM449">
        <v>67.945</v>
      </c>
      <c r="AN449">
        <f t="shared" si="115"/>
        <v>0</v>
      </c>
      <c r="AO449">
        <f t="shared" si="122"/>
        <v>0</v>
      </c>
      <c r="AP449">
        <f t="shared" si="123"/>
        <v>0</v>
      </c>
      <c r="AQ449">
        <f t="shared" si="127"/>
        <v>0</v>
      </c>
      <c r="AR449">
        <f t="shared" si="124"/>
        <v>7718359.29251081</v>
      </c>
      <c r="AS449">
        <f t="shared" si="116"/>
        <v>96479.4911563852</v>
      </c>
      <c r="AT449">
        <f t="shared" si="117"/>
        <v>0.0125</v>
      </c>
      <c r="AW449">
        <v>158.62</v>
      </c>
      <c r="AX449">
        <f t="shared" si="110"/>
        <v>0</v>
      </c>
      <c r="AY449">
        <f t="shared" si="118"/>
        <v>0</v>
      </c>
      <c r="AZ449">
        <f t="shared" si="125"/>
        <v>0</v>
      </c>
      <c r="BA449">
        <f t="shared" si="126"/>
        <v>0</v>
      </c>
      <c r="BB449">
        <f t="shared" si="119"/>
        <v>8867861.29797591</v>
      </c>
      <c r="BC449">
        <f t="shared" si="111"/>
        <v>110848.266224699</v>
      </c>
      <c r="BD449">
        <f t="shared" si="112"/>
        <v>0.0125</v>
      </c>
      <c r="BG449">
        <f t="shared" si="120"/>
        <v>0</v>
      </c>
      <c r="BH449">
        <f t="shared" si="121"/>
        <v>7170079.31508434</v>
      </c>
      <c r="BI449">
        <f t="shared" si="113"/>
        <v>89625.9914385543</v>
      </c>
      <c r="BJ449">
        <f t="shared" si="114"/>
        <v>0.0125</v>
      </c>
    </row>
    <row r="450" spans="39:62">
      <c r="AM450">
        <v>68.265</v>
      </c>
      <c r="AN450">
        <f t="shared" si="115"/>
        <v>0</v>
      </c>
      <c r="AO450">
        <f t="shared" si="122"/>
        <v>0</v>
      </c>
      <c r="AP450">
        <f t="shared" si="123"/>
        <v>0</v>
      </c>
      <c r="AQ450">
        <f t="shared" si="127"/>
        <v>0</v>
      </c>
      <c r="AR450">
        <f t="shared" si="124"/>
        <v>7718359.29251081</v>
      </c>
      <c r="AS450">
        <f t="shared" si="116"/>
        <v>96479.4911563852</v>
      </c>
      <c r="AT450">
        <f t="shared" si="117"/>
        <v>0.0125</v>
      </c>
      <c r="AW450">
        <v>158.74</v>
      </c>
      <c r="AX450">
        <f t="shared" ref="AX450:AX513" si="128">IF(V450&gt;0,AW450*1.01,IF(V450&lt;0,AW450*0.99,0))</f>
        <v>0</v>
      </c>
      <c r="AY450">
        <f t="shared" si="118"/>
        <v>0</v>
      </c>
      <c r="AZ450">
        <f t="shared" si="125"/>
        <v>0</v>
      </c>
      <c r="BA450">
        <f t="shared" si="126"/>
        <v>0</v>
      </c>
      <c r="BB450">
        <f t="shared" si="119"/>
        <v>8867861.29797591</v>
      </c>
      <c r="BC450">
        <f t="shared" ref="BC450:BC513" si="129">BB450*0.2/16</f>
        <v>110848.266224699</v>
      </c>
      <c r="BD450">
        <f t="shared" ref="BD450:BD513" si="130">BC450/BB450</f>
        <v>0.0125</v>
      </c>
      <c r="BG450">
        <f t="shared" si="120"/>
        <v>0</v>
      </c>
      <c r="BH450">
        <f t="shared" si="121"/>
        <v>7170079.31508434</v>
      </c>
      <c r="BI450">
        <f t="shared" ref="BI450:BI513" si="131">BH450*0.2/16</f>
        <v>89625.9914385543</v>
      </c>
      <c r="BJ450">
        <f t="shared" ref="BJ450:BJ513" si="132">BI450/BH450</f>
        <v>0.0125</v>
      </c>
    </row>
    <row r="451" spans="39:62">
      <c r="AM451">
        <v>68.18</v>
      </c>
      <c r="AN451">
        <f t="shared" ref="AN451:AN514" si="133">IF(L451&gt;0,AM451*1.01,IF(L451&lt;0,AM451*0.99,0))</f>
        <v>0</v>
      </c>
      <c r="AO451">
        <f t="shared" si="122"/>
        <v>0</v>
      </c>
      <c r="AP451">
        <f t="shared" si="123"/>
        <v>0</v>
      </c>
      <c r="AQ451">
        <f t="shared" si="127"/>
        <v>0</v>
      </c>
      <c r="AR451">
        <f t="shared" si="124"/>
        <v>7718359.29251081</v>
      </c>
      <c r="AS451">
        <f t="shared" ref="AS451:AS514" si="134">AR451*0.2/16</f>
        <v>96479.4911563852</v>
      </c>
      <c r="AT451">
        <f t="shared" ref="AT451:AT514" si="135">AS451/AR451</f>
        <v>0.0125</v>
      </c>
      <c r="AW451">
        <v>159</v>
      </c>
      <c r="AX451">
        <f t="shared" si="128"/>
        <v>0</v>
      </c>
      <c r="AY451">
        <f t="shared" ref="AY451:AY514" si="136">IF(AX451&lt;&gt;0,(AW451-AX451)*$BE$2/$BF$2*AA451,0)</f>
        <v>0</v>
      </c>
      <c r="AZ451">
        <f t="shared" si="125"/>
        <v>0</v>
      </c>
      <c r="BA451">
        <f t="shared" si="126"/>
        <v>0</v>
      </c>
      <c r="BB451">
        <f t="shared" ref="BB451:BB514" si="137">BA451+BB450</f>
        <v>8867861.29797591</v>
      </c>
      <c r="BC451">
        <f t="shared" si="129"/>
        <v>110848.266224699</v>
      </c>
      <c r="BD451">
        <f t="shared" si="130"/>
        <v>0.0125</v>
      </c>
      <c r="BG451">
        <f t="shared" ref="BG451:BG514" si="138">AY451+AO451</f>
        <v>0</v>
      </c>
      <c r="BH451">
        <f t="shared" ref="BH451:BH514" si="139">BG451+BH450</f>
        <v>7170079.31508434</v>
      </c>
      <c r="BI451">
        <f t="shared" si="131"/>
        <v>89625.9914385543</v>
      </c>
      <c r="BJ451">
        <f t="shared" si="132"/>
        <v>0.0125</v>
      </c>
    </row>
    <row r="452" spans="39:62">
      <c r="AM452">
        <v>68.53</v>
      </c>
      <c r="AN452">
        <f t="shared" si="133"/>
        <v>0</v>
      </c>
      <c r="AO452">
        <f t="shared" ref="AO452:AO515" si="140">IF(AN452&lt;&gt;0,(AM452-AN452)*$AU$2/$AV$2*L452,0)</f>
        <v>0</v>
      </c>
      <c r="AP452">
        <f t="shared" ref="AP452:AP515" si="141">(AM452-AM451)*$AU$2/$AV$2*Z451</f>
        <v>0</v>
      </c>
      <c r="AQ452">
        <f t="shared" si="127"/>
        <v>0</v>
      </c>
      <c r="AR452">
        <f t="shared" ref="AR452:AR515" si="142">AQ452+AR451</f>
        <v>7718359.29251081</v>
      </c>
      <c r="AS452">
        <f t="shared" si="134"/>
        <v>96479.4911563852</v>
      </c>
      <c r="AT452">
        <f t="shared" si="135"/>
        <v>0.0125</v>
      </c>
      <c r="AW452">
        <v>158.32</v>
      </c>
      <c r="AX452">
        <f t="shared" si="128"/>
        <v>0</v>
      </c>
      <c r="AY452">
        <f t="shared" si="136"/>
        <v>0</v>
      </c>
      <c r="AZ452">
        <f t="shared" ref="AZ452:AZ515" si="143">(AW452-AW451)*$BE$2/$BF$2*AC451</f>
        <v>0</v>
      </c>
      <c r="BA452">
        <f t="shared" ref="BA452:BA515" si="144">AY452+AZ452</f>
        <v>0</v>
      </c>
      <c r="BB452">
        <f t="shared" si="137"/>
        <v>8867861.29797591</v>
      </c>
      <c r="BC452">
        <f t="shared" si="129"/>
        <v>110848.266224699</v>
      </c>
      <c r="BD452">
        <f t="shared" si="130"/>
        <v>0.0125</v>
      </c>
      <c r="BG452">
        <f t="shared" si="138"/>
        <v>0</v>
      </c>
      <c r="BH452">
        <f t="shared" si="139"/>
        <v>7170079.31508434</v>
      </c>
      <c r="BI452">
        <f t="shared" si="131"/>
        <v>89625.9914385543</v>
      </c>
      <c r="BJ452">
        <f t="shared" si="132"/>
        <v>0.0125</v>
      </c>
    </row>
    <row r="453" spans="39:62">
      <c r="AM453">
        <v>68.91</v>
      </c>
      <c r="AN453">
        <f t="shared" si="133"/>
        <v>0</v>
      </c>
      <c r="AO453">
        <f t="shared" si="140"/>
        <v>0</v>
      </c>
      <c r="AP453">
        <f t="shared" si="141"/>
        <v>0</v>
      </c>
      <c r="AQ453">
        <f t="shared" ref="AQ453:AQ516" si="145">AO453+AP453</f>
        <v>0</v>
      </c>
      <c r="AR453">
        <f t="shared" si="142"/>
        <v>7718359.29251081</v>
      </c>
      <c r="AS453">
        <f t="shared" si="134"/>
        <v>96479.4911563852</v>
      </c>
      <c r="AT453">
        <f t="shared" si="135"/>
        <v>0.0125</v>
      </c>
      <c r="AW453">
        <v>157.87</v>
      </c>
      <c r="AX453">
        <f t="shared" si="128"/>
        <v>0</v>
      </c>
      <c r="AY453">
        <f t="shared" si="136"/>
        <v>0</v>
      </c>
      <c r="AZ453">
        <f t="shared" si="143"/>
        <v>0</v>
      </c>
      <c r="BA453">
        <f t="shared" si="144"/>
        <v>0</v>
      </c>
      <c r="BB453">
        <f t="shared" si="137"/>
        <v>8867861.29797591</v>
      </c>
      <c r="BC453">
        <f t="shared" si="129"/>
        <v>110848.266224699</v>
      </c>
      <c r="BD453">
        <f t="shared" si="130"/>
        <v>0.0125</v>
      </c>
      <c r="BG453">
        <f t="shared" si="138"/>
        <v>0</v>
      </c>
      <c r="BH453">
        <f t="shared" si="139"/>
        <v>7170079.31508434</v>
      </c>
      <c r="BI453">
        <f t="shared" si="131"/>
        <v>89625.9914385543</v>
      </c>
      <c r="BJ453">
        <f t="shared" si="132"/>
        <v>0.0125</v>
      </c>
    </row>
    <row r="454" spans="39:62">
      <c r="AM454">
        <v>68.31</v>
      </c>
      <c r="AN454">
        <f t="shared" si="133"/>
        <v>0</v>
      </c>
      <c r="AO454">
        <f t="shared" si="140"/>
        <v>0</v>
      </c>
      <c r="AP454">
        <f t="shared" si="141"/>
        <v>0</v>
      </c>
      <c r="AQ454">
        <f t="shared" si="145"/>
        <v>0</v>
      </c>
      <c r="AR454">
        <f t="shared" si="142"/>
        <v>7718359.29251081</v>
      </c>
      <c r="AS454">
        <f t="shared" si="134"/>
        <v>96479.4911563852</v>
      </c>
      <c r="AT454">
        <f t="shared" si="135"/>
        <v>0.0125</v>
      </c>
      <c r="AW454">
        <v>158.04</v>
      </c>
      <c r="AX454">
        <f t="shared" si="128"/>
        <v>0</v>
      </c>
      <c r="AY454">
        <f t="shared" si="136"/>
        <v>0</v>
      </c>
      <c r="AZ454">
        <f t="shared" si="143"/>
        <v>0</v>
      </c>
      <c r="BA454">
        <f t="shared" si="144"/>
        <v>0</v>
      </c>
      <c r="BB454">
        <f t="shared" si="137"/>
        <v>8867861.29797591</v>
      </c>
      <c r="BC454">
        <f t="shared" si="129"/>
        <v>110848.266224699</v>
      </c>
      <c r="BD454">
        <f t="shared" si="130"/>
        <v>0.0125</v>
      </c>
      <c r="BG454">
        <f t="shared" si="138"/>
        <v>0</v>
      </c>
      <c r="BH454">
        <f t="shared" si="139"/>
        <v>7170079.31508434</v>
      </c>
      <c r="BI454">
        <f t="shared" si="131"/>
        <v>89625.9914385543</v>
      </c>
      <c r="BJ454">
        <f t="shared" si="132"/>
        <v>0.0125</v>
      </c>
    </row>
    <row r="455" spans="39:62">
      <c r="AM455">
        <v>69.05</v>
      </c>
      <c r="AN455">
        <f t="shared" si="133"/>
        <v>0</v>
      </c>
      <c r="AO455">
        <f t="shared" si="140"/>
        <v>0</v>
      </c>
      <c r="AP455">
        <f t="shared" si="141"/>
        <v>0</v>
      </c>
      <c r="AQ455">
        <f t="shared" si="145"/>
        <v>0</v>
      </c>
      <c r="AR455">
        <f t="shared" si="142"/>
        <v>7718359.29251081</v>
      </c>
      <c r="AS455">
        <f t="shared" si="134"/>
        <v>96479.4911563852</v>
      </c>
      <c r="AT455">
        <f t="shared" si="135"/>
        <v>0.0125</v>
      </c>
      <c r="AW455">
        <v>158.06</v>
      </c>
      <c r="AX455">
        <f t="shared" si="128"/>
        <v>0</v>
      </c>
      <c r="AY455">
        <f t="shared" si="136"/>
        <v>0</v>
      </c>
      <c r="AZ455">
        <f t="shared" si="143"/>
        <v>0</v>
      </c>
      <c r="BA455">
        <f t="shared" si="144"/>
        <v>0</v>
      </c>
      <c r="BB455">
        <f t="shared" si="137"/>
        <v>8867861.29797591</v>
      </c>
      <c r="BC455">
        <f t="shared" si="129"/>
        <v>110848.266224699</v>
      </c>
      <c r="BD455">
        <f t="shared" si="130"/>
        <v>0.0125</v>
      </c>
      <c r="BG455">
        <f t="shared" si="138"/>
        <v>0</v>
      </c>
      <c r="BH455">
        <f t="shared" si="139"/>
        <v>7170079.31508434</v>
      </c>
      <c r="BI455">
        <f t="shared" si="131"/>
        <v>89625.9914385543</v>
      </c>
      <c r="BJ455">
        <f t="shared" si="132"/>
        <v>0.0125</v>
      </c>
    </row>
    <row r="456" spans="39:62">
      <c r="AM456">
        <v>69.185</v>
      </c>
      <c r="AN456">
        <f t="shared" si="133"/>
        <v>0</v>
      </c>
      <c r="AO456">
        <f t="shared" si="140"/>
        <v>0</v>
      </c>
      <c r="AP456">
        <f t="shared" si="141"/>
        <v>0</v>
      </c>
      <c r="AQ456">
        <f t="shared" si="145"/>
        <v>0</v>
      </c>
      <c r="AR456">
        <f t="shared" si="142"/>
        <v>7718359.29251081</v>
      </c>
      <c r="AS456">
        <f t="shared" si="134"/>
        <v>96479.4911563852</v>
      </c>
      <c r="AT456">
        <f t="shared" si="135"/>
        <v>0.0125</v>
      </c>
      <c r="AW456">
        <v>158.79</v>
      </c>
      <c r="AX456">
        <f t="shared" si="128"/>
        <v>0</v>
      </c>
      <c r="AY456">
        <f t="shared" si="136"/>
        <v>0</v>
      </c>
      <c r="AZ456">
        <f t="shared" si="143"/>
        <v>0</v>
      </c>
      <c r="BA456">
        <f t="shared" si="144"/>
        <v>0</v>
      </c>
      <c r="BB456">
        <f t="shared" si="137"/>
        <v>8867861.29797591</v>
      </c>
      <c r="BC456">
        <f t="shared" si="129"/>
        <v>110848.266224699</v>
      </c>
      <c r="BD456">
        <f t="shared" si="130"/>
        <v>0.0125</v>
      </c>
      <c r="BG456">
        <f t="shared" si="138"/>
        <v>0</v>
      </c>
      <c r="BH456">
        <f t="shared" si="139"/>
        <v>7170079.31508434</v>
      </c>
      <c r="BI456">
        <f t="shared" si="131"/>
        <v>89625.9914385543</v>
      </c>
      <c r="BJ456">
        <f t="shared" si="132"/>
        <v>0.0125</v>
      </c>
    </row>
    <row r="457" spans="39:62">
      <c r="AM457">
        <v>69.245</v>
      </c>
      <c r="AN457">
        <f t="shared" si="133"/>
        <v>0</v>
      </c>
      <c r="AO457">
        <f t="shared" si="140"/>
        <v>0</v>
      </c>
      <c r="AP457">
        <f t="shared" si="141"/>
        <v>0</v>
      </c>
      <c r="AQ457">
        <f t="shared" si="145"/>
        <v>0</v>
      </c>
      <c r="AR457">
        <f t="shared" si="142"/>
        <v>7718359.29251081</v>
      </c>
      <c r="AS457">
        <f t="shared" si="134"/>
        <v>96479.4911563852</v>
      </c>
      <c r="AT457">
        <f t="shared" si="135"/>
        <v>0.0125</v>
      </c>
      <c r="AW457">
        <v>158.77</v>
      </c>
      <c r="AX457">
        <f t="shared" si="128"/>
        <v>0</v>
      </c>
      <c r="AY457">
        <f t="shared" si="136"/>
        <v>0</v>
      </c>
      <c r="AZ457">
        <f t="shared" si="143"/>
        <v>0</v>
      </c>
      <c r="BA457">
        <f t="shared" si="144"/>
        <v>0</v>
      </c>
      <c r="BB457">
        <f t="shared" si="137"/>
        <v>8867861.29797591</v>
      </c>
      <c r="BC457">
        <f t="shared" si="129"/>
        <v>110848.266224699</v>
      </c>
      <c r="BD457">
        <f t="shared" si="130"/>
        <v>0.0125</v>
      </c>
      <c r="BG457">
        <f t="shared" si="138"/>
        <v>0</v>
      </c>
      <c r="BH457">
        <f t="shared" si="139"/>
        <v>7170079.31508434</v>
      </c>
      <c r="BI457">
        <f t="shared" si="131"/>
        <v>89625.9914385543</v>
      </c>
      <c r="BJ457">
        <f t="shared" si="132"/>
        <v>0.0125</v>
      </c>
    </row>
    <row r="458" spans="39:62">
      <c r="AM458">
        <v>68.985</v>
      </c>
      <c r="AN458">
        <f t="shared" si="133"/>
        <v>0</v>
      </c>
      <c r="AO458">
        <f t="shared" si="140"/>
        <v>0</v>
      </c>
      <c r="AP458">
        <f t="shared" si="141"/>
        <v>0</v>
      </c>
      <c r="AQ458">
        <f t="shared" si="145"/>
        <v>0</v>
      </c>
      <c r="AR458">
        <f t="shared" si="142"/>
        <v>7718359.29251081</v>
      </c>
      <c r="AS458">
        <f t="shared" si="134"/>
        <v>96479.4911563852</v>
      </c>
      <c r="AT458">
        <f t="shared" si="135"/>
        <v>0.0125</v>
      </c>
      <c r="AW458">
        <v>159.52</v>
      </c>
      <c r="AX458">
        <f t="shared" si="128"/>
        <v>0</v>
      </c>
      <c r="AY458">
        <f t="shared" si="136"/>
        <v>0</v>
      </c>
      <c r="AZ458">
        <f t="shared" si="143"/>
        <v>0</v>
      </c>
      <c r="BA458">
        <f t="shared" si="144"/>
        <v>0</v>
      </c>
      <c r="BB458">
        <f t="shared" si="137"/>
        <v>8867861.29797591</v>
      </c>
      <c r="BC458">
        <f t="shared" si="129"/>
        <v>110848.266224699</v>
      </c>
      <c r="BD458">
        <f t="shared" si="130"/>
        <v>0.0125</v>
      </c>
      <c r="BG458">
        <f t="shared" si="138"/>
        <v>0</v>
      </c>
      <c r="BH458">
        <f t="shared" si="139"/>
        <v>7170079.31508434</v>
      </c>
      <c r="BI458">
        <f t="shared" si="131"/>
        <v>89625.9914385543</v>
      </c>
      <c r="BJ458">
        <f t="shared" si="132"/>
        <v>0.0125</v>
      </c>
    </row>
    <row r="459" spans="39:62">
      <c r="AM459">
        <v>68.87</v>
      </c>
      <c r="AN459">
        <f t="shared" si="133"/>
        <v>0</v>
      </c>
      <c r="AO459">
        <f t="shared" si="140"/>
        <v>0</v>
      </c>
      <c r="AP459">
        <f t="shared" si="141"/>
        <v>0</v>
      </c>
      <c r="AQ459">
        <f t="shared" si="145"/>
        <v>0</v>
      </c>
      <c r="AR459">
        <f t="shared" si="142"/>
        <v>7718359.29251081</v>
      </c>
      <c r="AS459">
        <f t="shared" si="134"/>
        <v>96479.4911563852</v>
      </c>
      <c r="AT459">
        <f t="shared" si="135"/>
        <v>0.0125</v>
      </c>
      <c r="AW459">
        <v>158.93</v>
      </c>
      <c r="AX459">
        <f t="shared" si="128"/>
        <v>0</v>
      </c>
      <c r="AY459">
        <f t="shared" si="136"/>
        <v>0</v>
      </c>
      <c r="AZ459">
        <f t="shared" si="143"/>
        <v>0</v>
      </c>
      <c r="BA459">
        <f t="shared" si="144"/>
        <v>0</v>
      </c>
      <c r="BB459">
        <f t="shared" si="137"/>
        <v>8867861.29797591</v>
      </c>
      <c r="BC459">
        <f t="shared" si="129"/>
        <v>110848.266224699</v>
      </c>
      <c r="BD459">
        <f t="shared" si="130"/>
        <v>0.0125</v>
      </c>
      <c r="BG459">
        <f t="shared" si="138"/>
        <v>0</v>
      </c>
      <c r="BH459">
        <f t="shared" si="139"/>
        <v>7170079.31508434</v>
      </c>
      <c r="BI459">
        <f t="shared" si="131"/>
        <v>89625.9914385543</v>
      </c>
      <c r="BJ459">
        <f t="shared" si="132"/>
        <v>0.0125</v>
      </c>
    </row>
    <row r="460" spans="39:62">
      <c r="AM460">
        <v>68.46</v>
      </c>
      <c r="AN460">
        <f t="shared" si="133"/>
        <v>0</v>
      </c>
      <c r="AO460">
        <f t="shared" si="140"/>
        <v>0</v>
      </c>
      <c r="AP460">
        <f t="shared" si="141"/>
        <v>0</v>
      </c>
      <c r="AQ460">
        <f t="shared" si="145"/>
        <v>0</v>
      </c>
      <c r="AR460">
        <f t="shared" si="142"/>
        <v>7718359.29251081</v>
      </c>
      <c r="AS460">
        <f t="shared" si="134"/>
        <v>96479.4911563852</v>
      </c>
      <c r="AT460">
        <f t="shared" si="135"/>
        <v>0.0125</v>
      </c>
      <c r="AW460">
        <v>158.04</v>
      </c>
      <c r="AX460">
        <f t="shared" si="128"/>
        <v>0</v>
      </c>
      <c r="AY460">
        <f t="shared" si="136"/>
        <v>0</v>
      </c>
      <c r="AZ460">
        <f t="shared" si="143"/>
        <v>0</v>
      </c>
      <c r="BA460">
        <f t="shared" si="144"/>
        <v>0</v>
      </c>
      <c r="BB460">
        <f t="shared" si="137"/>
        <v>8867861.29797591</v>
      </c>
      <c r="BC460">
        <f t="shared" si="129"/>
        <v>110848.266224699</v>
      </c>
      <c r="BD460">
        <f t="shared" si="130"/>
        <v>0.0125</v>
      </c>
      <c r="BG460">
        <f t="shared" si="138"/>
        <v>0</v>
      </c>
      <c r="BH460">
        <f t="shared" si="139"/>
        <v>7170079.31508434</v>
      </c>
      <c r="BI460">
        <f t="shared" si="131"/>
        <v>89625.9914385543</v>
      </c>
      <c r="BJ460">
        <f t="shared" si="132"/>
        <v>0.0125</v>
      </c>
    </row>
    <row r="461" spans="39:62">
      <c r="AM461">
        <v>68.05</v>
      </c>
      <c r="AN461">
        <f t="shared" si="133"/>
        <v>0</v>
      </c>
      <c r="AO461">
        <f t="shared" si="140"/>
        <v>0</v>
      </c>
      <c r="AP461">
        <f t="shared" si="141"/>
        <v>0</v>
      </c>
      <c r="AQ461">
        <f t="shared" si="145"/>
        <v>0</v>
      </c>
      <c r="AR461">
        <f t="shared" si="142"/>
        <v>7718359.29251081</v>
      </c>
      <c r="AS461">
        <f t="shared" si="134"/>
        <v>96479.4911563852</v>
      </c>
      <c r="AT461">
        <f t="shared" si="135"/>
        <v>0.0125</v>
      </c>
      <c r="AW461">
        <v>157.61</v>
      </c>
      <c r="AX461">
        <f t="shared" si="128"/>
        <v>0</v>
      </c>
      <c r="AY461">
        <f t="shared" si="136"/>
        <v>0</v>
      </c>
      <c r="AZ461">
        <f t="shared" si="143"/>
        <v>0</v>
      </c>
      <c r="BA461">
        <f t="shared" si="144"/>
        <v>0</v>
      </c>
      <c r="BB461">
        <f t="shared" si="137"/>
        <v>8867861.29797591</v>
      </c>
      <c r="BC461">
        <f t="shared" si="129"/>
        <v>110848.266224699</v>
      </c>
      <c r="BD461">
        <f t="shared" si="130"/>
        <v>0.0125</v>
      </c>
      <c r="BG461">
        <f t="shared" si="138"/>
        <v>0</v>
      </c>
      <c r="BH461">
        <f t="shared" si="139"/>
        <v>7170079.31508434</v>
      </c>
      <c r="BI461">
        <f t="shared" si="131"/>
        <v>89625.9914385543</v>
      </c>
      <c r="BJ461">
        <f t="shared" si="132"/>
        <v>0.0125</v>
      </c>
    </row>
    <row r="462" spans="39:62">
      <c r="AM462">
        <v>67.505</v>
      </c>
      <c r="AN462">
        <f t="shared" si="133"/>
        <v>0</v>
      </c>
      <c r="AO462">
        <f t="shared" si="140"/>
        <v>0</v>
      </c>
      <c r="AP462">
        <f t="shared" si="141"/>
        <v>0</v>
      </c>
      <c r="AQ462">
        <f t="shared" si="145"/>
        <v>0</v>
      </c>
      <c r="AR462">
        <f t="shared" si="142"/>
        <v>7718359.29251081</v>
      </c>
      <c r="AS462">
        <f t="shared" si="134"/>
        <v>96479.4911563852</v>
      </c>
      <c r="AT462">
        <f t="shared" si="135"/>
        <v>0.0125</v>
      </c>
      <c r="AW462">
        <v>157.95</v>
      </c>
      <c r="AX462">
        <f t="shared" si="128"/>
        <v>0</v>
      </c>
      <c r="AY462">
        <f t="shared" si="136"/>
        <v>0</v>
      </c>
      <c r="AZ462">
        <f t="shared" si="143"/>
        <v>0</v>
      </c>
      <c r="BA462">
        <f t="shared" si="144"/>
        <v>0</v>
      </c>
      <c r="BB462">
        <f t="shared" si="137"/>
        <v>8867861.29797591</v>
      </c>
      <c r="BC462">
        <f t="shared" si="129"/>
        <v>110848.266224699</v>
      </c>
      <c r="BD462">
        <f t="shared" si="130"/>
        <v>0.0125</v>
      </c>
      <c r="BG462">
        <f t="shared" si="138"/>
        <v>0</v>
      </c>
      <c r="BH462">
        <f t="shared" si="139"/>
        <v>7170079.31508434</v>
      </c>
      <c r="BI462">
        <f t="shared" si="131"/>
        <v>89625.9914385543</v>
      </c>
      <c r="BJ462">
        <f t="shared" si="132"/>
        <v>0.0125</v>
      </c>
    </row>
    <row r="463" spans="39:62">
      <c r="AM463">
        <v>67.475</v>
      </c>
      <c r="AN463">
        <f t="shared" si="133"/>
        <v>0</v>
      </c>
      <c r="AO463">
        <f t="shared" si="140"/>
        <v>0</v>
      </c>
      <c r="AP463">
        <f t="shared" si="141"/>
        <v>0</v>
      </c>
      <c r="AQ463">
        <f t="shared" si="145"/>
        <v>0</v>
      </c>
      <c r="AR463">
        <f t="shared" si="142"/>
        <v>7718359.29251081</v>
      </c>
      <c r="AS463">
        <f t="shared" si="134"/>
        <v>96479.4911563852</v>
      </c>
      <c r="AT463">
        <f t="shared" si="135"/>
        <v>0.0125</v>
      </c>
      <c r="AW463">
        <v>158.09</v>
      </c>
      <c r="AX463">
        <f t="shared" si="128"/>
        <v>0</v>
      </c>
      <c r="AY463">
        <f t="shared" si="136"/>
        <v>0</v>
      </c>
      <c r="AZ463">
        <f t="shared" si="143"/>
        <v>0</v>
      </c>
      <c r="BA463">
        <f t="shared" si="144"/>
        <v>0</v>
      </c>
      <c r="BB463">
        <f t="shared" si="137"/>
        <v>8867861.29797591</v>
      </c>
      <c r="BC463">
        <f t="shared" si="129"/>
        <v>110848.266224699</v>
      </c>
      <c r="BD463">
        <f t="shared" si="130"/>
        <v>0.0125</v>
      </c>
      <c r="BG463">
        <f t="shared" si="138"/>
        <v>0</v>
      </c>
      <c r="BH463">
        <f t="shared" si="139"/>
        <v>7170079.31508434</v>
      </c>
      <c r="BI463">
        <f t="shared" si="131"/>
        <v>89625.9914385543</v>
      </c>
      <c r="BJ463">
        <f t="shared" si="132"/>
        <v>0.0125</v>
      </c>
    </row>
    <row r="464" spans="39:62">
      <c r="AM464">
        <v>67.175</v>
      </c>
      <c r="AN464">
        <f t="shared" si="133"/>
        <v>0</v>
      </c>
      <c r="AO464">
        <f t="shared" si="140"/>
        <v>0</v>
      </c>
      <c r="AP464">
        <f t="shared" si="141"/>
        <v>0</v>
      </c>
      <c r="AQ464">
        <f t="shared" si="145"/>
        <v>0</v>
      </c>
      <c r="AR464">
        <f t="shared" si="142"/>
        <v>7718359.29251081</v>
      </c>
      <c r="AS464">
        <f t="shared" si="134"/>
        <v>96479.4911563852</v>
      </c>
      <c r="AT464">
        <f t="shared" si="135"/>
        <v>0.0125</v>
      </c>
      <c r="AW464">
        <v>157.88</v>
      </c>
      <c r="AX464">
        <f t="shared" si="128"/>
        <v>0</v>
      </c>
      <c r="AY464">
        <f t="shared" si="136"/>
        <v>0</v>
      </c>
      <c r="AZ464">
        <f t="shared" si="143"/>
        <v>0</v>
      </c>
      <c r="BA464">
        <f t="shared" si="144"/>
        <v>0</v>
      </c>
      <c r="BB464">
        <f t="shared" si="137"/>
        <v>8867861.29797591</v>
      </c>
      <c r="BC464">
        <f t="shared" si="129"/>
        <v>110848.266224699</v>
      </c>
      <c r="BD464">
        <f t="shared" si="130"/>
        <v>0.0125</v>
      </c>
      <c r="BG464">
        <f t="shared" si="138"/>
        <v>0</v>
      </c>
      <c r="BH464">
        <f t="shared" si="139"/>
        <v>7170079.31508434</v>
      </c>
      <c r="BI464">
        <f t="shared" si="131"/>
        <v>89625.9914385543</v>
      </c>
      <c r="BJ464">
        <f t="shared" si="132"/>
        <v>0.0125</v>
      </c>
    </row>
    <row r="465" spans="39:62">
      <c r="AM465">
        <v>67.34</v>
      </c>
      <c r="AN465">
        <f t="shared" si="133"/>
        <v>0</v>
      </c>
      <c r="AO465">
        <f t="shared" si="140"/>
        <v>0</v>
      </c>
      <c r="AP465">
        <f t="shared" si="141"/>
        <v>0</v>
      </c>
      <c r="AQ465">
        <f t="shared" si="145"/>
        <v>0</v>
      </c>
      <c r="AR465">
        <f t="shared" si="142"/>
        <v>7718359.29251081</v>
      </c>
      <c r="AS465">
        <f t="shared" si="134"/>
        <v>96479.4911563852</v>
      </c>
      <c r="AT465">
        <f t="shared" si="135"/>
        <v>0.0125</v>
      </c>
      <c r="AW465">
        <v>158.35</v>
      </c>
      <c r="AX465">
        <f t="shared" si="128"/>
        <v>0</v>
      </c>
      <c r="AY465">
        <f t="shared" si="136"/>
        <v>0</v>
      </c>
      <c r="AZ465">
        <f t="shared" si="143"/>
        <v>0</v>
      </c>
      <c r="BA465">
        <f t="shared" si="144"/>
        <v>0</v>
      </c>
      <c r="BB465">
        <f t="shared" si="137"/>
        <v>8867861.29797591</v>
      </c>
      <c r="BC465">
        <f t="shared" si="129"/>
        <v>110848.266224699</v>
      </c>
      <c r="BD465">
        <f t="shared" si="130"/>
        <v>0.0125</v>
      </c>
      <c r="BG465">
        <f t="shared" si="138"/>
        <v>0</v>
      </c>
      <c r="BH465">
        <f t="shared" si="139"/>
        <v>7170079.31508434</v>
      </c>
      <c r="BI465">
        <f t="shared" si="131"/>
        <v>89625.9914385543</v>
      </c>
      <c r="BJ465">
        <f t="shared" si="132"/>
        <v>0.0125</v>
      </c>
    </row>
    <row r="466" spans="39:62">
      <c r="AM466">
        <v>67.615</v>
      </c>
      <c r="AN466">
        <f t="shared" si="133"/>
        <v>0</v>
      </c>
      <c r="AO466">
        <f t="shared" si="140"/>
        <v>0</v>
      </c>
      <c r="AP466">
        <f t="shared" si="141"/>
        <v>0</v>
      </c>
      <c r="AQ466">
        <f t="shared" si="145"/>
        <v>0</v>
      </c>
      <c r="AR466">
        <f t="shared" si="142"/>
        <v>7718359.29251081</v>
      </c>
      <c r="AS466">
        <f t="shared" si="134"/>
        <v>96479.4911563852</v>
      </c>
      <c r="AT466">
        <f t="shared" si="135"/>
        <v>0.0125</v>
      </c>
      <c r="AW466">
        <v>158.53</v>
      </c>
      <c r="AX466">
        <f t="shared" si="128"/>
        <v>0</v>
      </c>
      <c r="AY466">
        <f t="shared" si="136"/>
        <v>0</v>
      </c>
      <c r="AZ466">
        <f t="shared" si="143"/>
        <v>0</v>
      </c>
      <c r="BA466">
        <f t="shared" si="144"/>
        <v>0</v>
      </c>
      <c r="BB466">
        <f t="shared" si="137"/>
        <v>8867861.29797591</v>
      </c>
      <c r="BC466">
        <f t="shared" si="129"/>
        <v>110848.266224699</v>
      </c>
      <c r="BD466">
        <f t="shared" si="130"/>
        <v>0.0125</v>
      </c>
      <c r="BG466">
        <f t="shared" si="138"/>
        <v>0</v>
      </c>
      <c r="BH466">
        <f t="shared" si="139"/>
        <v>7170079.31508434</v>
      </c>
      <c r="BI466">
        <f t="shared" si="131"/>
        <v>89625.9914385543</v>
      </c>
      <c r="BJ466">
        <f t="shared" si="132"/>
        <v>0.0125</v>
      </c>
    </row>
    <row r="467" spans="39:62">
      <c r="AM467">
        <v>67.23</v>
      </c>
      <c r="AN467">
        <f t="shared" si="133"/>
        <v>0</v>
      </c>
      <c r="AO467">
        <f t="shared" si="140"/>
        <v>0</v>
      </c>
      <c r="AP467">
        <f t="shared" si="141"/>
        <v>0</v>
      </c>
      <c r="AQ467">
        <f t="shared" si="145"/>
        <v>0</v>
      </c>
      <c r="AR467">
        <f t="shared" si="142"/>
        <v>7718359.29251081</v>
      </c>
      <c r="AS467">
        <f t="shared" si="134"/>
        <v>96479.4911563852</v>
      </c>
      <c r="AT467">
        <f t="shared" si="135"/>
        <v>0.0125</v>
      </c>
      <c r="AW467">
        <v>158.59</v>
      </c>
      <c r="AX467">
        <f t="shared" si="128"/>
        <v>0</v>
      </c>
      <c r="AY467">
        <f t="shared" si="136"/>
        <v>0</v>
      </c>
      <c r="AZ467">
        <f t="shared" si="143"/>
        <v>0</v>
      </c>
      <c r="BA467">
        <f t="shared" si="144"/>
        <v>0</v>
      </c>
      <c r="BB467">
        <f t="shared" si="137"/>
        <v>8867861.29797591</v>
      </c>
      <c r="BC467">
        <f t="shared" si="129"/>
        <v>110848.266224699</v>
      </c>
      <c r="BD467">
        <f t="shared" si="130"/>
        <v>0.0125</v>
      </c>
      <c r="BG467">
        <f t="shared" si="138"/>
        <v>0</v>
      </c>
      <c r="BH467">
        <f t="shared" si="139"/>
        <v>7170079.31508434</v>
      </c>
      <c r="BI467">
        <f t="shared" si="131"/>
        <v>89625.9914385543</v>
      </c>
      <c r="BJ467">
        <f t="shared" si="132"/>
        <v>0.0125</v>
      </c>
    </row>
    <row r="468" spans="39:62">
      <c r="AM468">
        <v>67.065</v>
      </c>
      <c r="AN468">
        <f t="shared" si="133"/>
        <v>0</v>
      </c>
      <c r="AO468">
        <f t="shared" si="140"/>
        <v>0</v>
      </c>
      <c r="AP468">
        <f t="shared" si="141"/>
        <v>0</v>
      </c>
      <c r="AQ468">
        <f t="shared" si="145"/>
        <v>0</v>
      </c>
      <c r="AR468">
        <f t="shared" si="142"/>
        <v>7718359.29251081</v>
      </c>
      <c r="AS468">
        <f t="shared" si="134"/>
        <v>96479.4911563852</v>
      </c>
      <c r="AT468">
        <f t="shared" si="135"/>
        <v>0.0125</v>
      </c>
      <c r="AW468">
        <v>158.72</v>
      </c>
      <c r="AX468">
        <f t="shared" si="128"/>
        <v>0</v>
      </c>
      <c r="AY468">
        <f t="shared" si="136"/>
        <v>0</v>
      </c>
      <c r="AZ468">
        <f t="shared" si="143"/>
        <v>0</v>
      </c>
      <c r="BA468">
        <f t="shared" si="144"/>
        <v>0</v>
      </c>
      <c r="BB468">
        <f t="shared" si="137"/>
        <v>8867861.29797591</v>
      </c>
      <c r="BC468">
        <f t="shared" si="129"/>
        <v>110848.266224699</v>
      </c>
      <c r="BD468">
        <f t="shared" si="130"/>
        <v>0.0125</v>
      </c>
      <c r="BG468">
        <f t="shared" si="138"/>
        <v>0</v>
      </c>
      <c r="BH468">
        <f t="shared" si="139"/>
        <v>7170079.31508434</v>
      </c>
      <c r="BI468">
        <f t="shared" si="131"/>
        <v>89625.9914385543</v>
      </c>
      <c r="BJ468">
        <f t="shared" si="132"/>
        <v>0.0125</v>
      </c>
    </row>
    <row r="469" spans="39:62">
      <c r="AM469">
        <v>66.695</v>
      </c>
      <c r="AN469">
        <f t="shared" si="133"/>
        <v>0</v>
      </c>
      <c r="AO469">
        <f t="shared" si="140"/>
        <v>0</v>
      </c>
      <c r="AP469">
        <f t="shared" si="141"/>
        <v>0</v>
      </c>
      <c r="AQ469">
        <f t="shared" si="145"/>
        <v>0</v>
      </c>
      <c r="AR469">
        <f t="shared" si="142"/>
        <v>7718359.29251081</v>
      </c>
      <c r="AS469">
        <f t="shared" si="134"/>
        <v>96479.4911563852</v>
      </c>
      <c r="AT469">
        <f t="shared" si="135"/>
        <v>0.0125</v>
      </c>
      <c r="AW469">
        <v>159.16</v>
      </c>
      <c r="AX469">
        <f t="shared" si="128"/>
        <v>0</v>
      </c>
      <c r="AY469">
        <f t="shared" si="136"/>
        <v>0</v>
      </c>
      <c r="AZ469">
        <f t="shared" si="143"/>
        <v>0</v>
      </c>
      <c r="BA469">
        <f t="shared" si="144"/>
        <v>0</v>
      </c>
      <c r="BB469">
        <f t="shared" si="137"/>
        <v>8867861.29797591</v>
      </c>
      <c r="BC469">
        <f t="shared" si="129"/>
        <v>110848.266224699</v>
      </c>
      <c r="BD469">
        <f t="shared" si="130"/>
        <v>0.0125</v>
      </c>
      <c r="BG469">
        <f t="shared" si="138"/>
        <v>0</v>
      </c>
      <c r="BH469">
        <f t="shared" si="139"/>
        <v>7170079.31508434</v>
      </c>
      <c r="BI469">
        <f t="shared" si="131"/>
        <v>89625.9914385543</v>
      </c>
      <c r="BJ469">
        <f t="shared" si="132"/>
        <v>0.0125</v>
      </c>
    </row>
    <row r="470" spans="39:62">
      <c r="AM470">
        <v>66.995</v>
      </c>
      <c r="AN470">
        <f t="shared" si="133"/>
        <v>0</v>
      </c>
      <c r="AO470">
        <f t="shared" si="140"/>
        <v>0</v>
      </c>
      <c r="AP470">
        <f t="shared" si="141"/>
        <v>0</v>
      </c>
      <c r="AQ470">
        <f t="shared" si="145"/>
        <v>0</v>
      </c>
      <c r="AR470">
        <f t="shared" si="142"/>
        <v>7718359.29251081</v>
      </c>
      <c r="AS470">
        <f t="shared" si="134"/>
        <v>96479.4911563852</v>
      </c>
      <c r="AT470">
        <f t="shared" si="135"/>
        <v>0.0125</v>
      </c>
      <c r="AW470">
        <v>159.52</v>
      </c>
      <c r="AX470">
        <f t="shared" si="128"/>
        <v>0</v>
      </c>
      <c r="AY470">
        <f t="shared" si="136"/>
        <v>0</v>
      </c>
      <c r="AZ470">
        <f t="shared" si="143"/>
        <v>0</v>
      </c>
      <c r="BA470">
        <f t="shared" si="144"/>
        <v>0</v>
      </c>
      <c r="BB470">
        <f t="shared" si="137"/>
        <v>8867861.29797591</v>
      </c>
      <c r="BC470">
        <f t="shared" si="129"/>
        <v>110848.266224699</v>
      </c>
      <c r="BD470">
        <f t="shared" si="130"/>
        <v>0.0125</v>
      </c>
      <c r="BG470">
        <f t="shared" si="138"/>
        <v>0</v>
      </c>
      <c r="BH470">
        <f t="shared" si="139"/>
        <v>7170079.31508434</v>
      </c>
      <c r="BI470">
        <f t="shared" si="131"/>
        <v>89625.9914385543</v>
      </c>
      <c r="BJ470">
        <f t="shared" si="132"/>
        <v>0.0125</v>
      </c>
    </row>
    <row r="471" spans="39:62">
      <c r="AM471">
        <v>67.08</v>
      </c>
      <c r="AN471">
        <f t="shared" si="133"/>
        <v>0</v>
      </c>
      <c r="AO471">
        <f t="shared" si="140"/>
        <v>0</v>
      </c>
      <c r="AP471">
        <f t="shared" si="141"/>
        <v>0</v>
      </c>
      <c r="AQ471">
        <f t="shared" si="145"/>
        <v>0</v>
      </c>
      <c r="AR471">
        <f t="shared" si="142"/>
        <v>7718359.29251081</v>
      </c>
      <c r="AS471">
        <f t="shared" si="134"/>
        <v>96479.4911563852</v>
      </c>
      <c r="AT471">
        <f t="shared" si="135"/>
        <v>0.0125</v>
      </c>
      <c r="AW471">
        <v>159.4</v>
      </c>
      <c r="AX471">
        <f t="shared" si="128"/>
        <v>0</v>
      </c>
      <c r="AY471">
        <f t="shared" si="136"/>
        <v>0</v>
      </c>
      <c r="AZ471">
        <f t="shared" si="143"/>
        <v>0</v>
      </c>
      <c r="BA471">
        <f t="shared" si="144"/>
        <v>0</v>
      </c>
      <c r="BB471">
        <f t="shared" si="137"/>
        <v>8867861.29797591</v>
      </c>
      <c r="BC471">
        <f t="shared" si="129"/>
        <v>110848.266224699</v>
      </c>
      <c r="BD471">
        <f t="shared" si="130"/>
        <v>0.0125</v>
      </c>
      <c r="BG471">
        <f t="shared" si="138"/>
        <v>0</v>
      </c>
      <c r="BH471">
        <f t="shared" si="139"/>
        <v>7170079.31508434</v>
      </c>
      <c r="BI471">
        <f t="shared" si="131"/>
        <v>89625.9914385543</v>
      </c>
      <c r="BJ471">
        <f t="shared" si="132"/>
        <v>0.0125</v>
      </c>
    </row>
    <row r="472" spans="39:62">
      <c r="AM472">
        <v>66.585</v>
      </c>
      <c r="AN472">
        <f t="shared" si="133"/>
        <v>0</v>
      </c>
      <c r="AO472">
        <f t="shared" si="140"/>
        <v>0</v>
      </c>
      <c r="AP472">
        <f t="shared" si="141"/>
        <v>0</v>
      </c>
      <c r="AQ472">
        <f t="shared" si="145"/>
        <v>0</v>
      </c>
      <c r="AR472">
        <f t="shared" si="142"/>
        <v>7718359.29251081</v>
      </c>
      <c r="AS472">
        <f t="shared" si="134"/>
        <v>96479.4911563852</v>
      </c>
      <c r="AT472">
        <f t="shared" si="135"/>
        <v>0.0125</v>
      </c>
      <c r="AW472">
        <v>159.34</v>
      </c>
      <c r="AX472">
        <f t="shared" si="128"/>
        <v>0</v>
      </c>
      <c r="AY472">
        <f t="shared" si="136"/>
        <v>0</v>
      </c>
      <c r="AZ472">
        <f t="shared" si="143"/>
        <v>0</v>
      </c>
      <c r="BA472">
        <f t="shared" si="144"/>
        <v>0</v>
      </c>
      <c r="BB472">
        <f t="shared" si="137"/>
        <v>8867861.29797591</v>
      </c>
      <c r="BC472">
        <f t="shared" si="129"/>
        <v>110848.266224699</v>
      </c>
      <c r="BD472">
        <f t="shared" si="130"/>
        <v>0.0125</v>
      </c>
      <c r="BG472">
        <f t="shared" si="138"/>
        <v>0</v>
      </c>
      <c r="BH472">
        <f t="shared" si="139"/>
        <v>7170079.31508434</v>
      </c>
      <c r="BI472">
        <f t="shared" si="131"/>
        <v>89625.9914385543</v>
      </c>
      <c r="BJ472">
        <f t="shared" si="132"/>
        <v>0.0125</v>
      </c>
    </row>
    <row r="473" spans="39:62">
      <c r="AM473">
        <v>66.85</v>
      </c>
      <c r="AN473">
        <f t="shared" si="133"/>
        <v>0</v>
      </c>
      <c r="AO473">
        <f t="shared" si="140"/>
        <v>0</v>
      </c>
      <c r="AP473">
        <f t="shared" si="141"/>
        <v>0</v>
      </c>
      <c r="AQ473">
        <f t="shared" si="145"/>
        <v>0</v>
      </c>
      <c r="AR473">
        <f t="shared" si="142"/>
        <v>7718359.29251081</v>
      </c>
      <c r="AS473">
        <f t="shared" si="134"/>
        <v>96479.4911563852</v>
      </c>
      <c r="AT473">
        <f t="shared" si="135"/>
        <v>0.0125</v>
      </c>
      <c r="AW473">
        <v>159.79</v>
      </c>
      <c r="AX473">
        <f t="shared" si="128"/>
        <v>0</v>
      </c>
      <c r="AY473">
        <f t="shared" si="136"/>
        <v>0</v>
      </c>
      <c r="AZ473">
        <f t="shared" si="143"/>
        <v>0</v>
      </c>
      <c r="BA473">
        <f t="shared" si="144"/>
        <v>0</v>
      </c>
      <c r="BB473">
        <f t="shared" si="137"/>
        <v>8867861.29797591</v>
      </c>
      <c r="BC473">
        <f t="shared" si="129"/>
        <v>110848.266224699</v>
      </c>
      <c r="BD473">
        <f t="shared" si="130"/>
        <v>0.0125</v>
      </c>
      <c r="BG473">
        <f t="shared" si="138"/>
        <v>0</v>
      </c>
      <c r="BH473">
        <f t="shared" si="139"/>
        <v>7170079.31508434</v>
      </c>
      <c r="BI473">
        <f t="shared" si="131"/>
        <v>89625.9914385543</v>
      </c>
      <c r="BJ473">
        <f t="shared" si="132"/>
        <v>0.0125</v>
      </c>
    </row>
    <row r="474" spans="39:62">
      <c r="AM474">
        <v>66.285</v>
      </c>
      <c r="AN474">
        <f t="shared" si="133"/>
        <v>0</v>
      </c>
      <c r="AO474">
        <f t="shared" si="140"/>
        <v>0</v>
      </c>
      <c r="AP474">
        <f t="shared" si="141"/>
        <v>0</v>
      </c>
      <c r="AQ474">
        <f t="shared" si="145"/>
        <v>0</v>
      </c>
      <c r="AR474">
        <f t="shared" si="142"/>
        <v>7718359.29251081</v>
      </c>
      <c r="AS474">
        <f t="shared" si="134"/>
        <v>96479.4911563852</v>
      </c>
      <c r="AT474">
        <f t="shared" si="135"/>
        <v>0.0125</v>
      </c>
      <c r="AW474">
        <v>160.18</v>
      </c>
      <c r="AX474">
        <f t="shared" si="128"/>
        <v>0</v>
      </c>
      <c r="AY474">
        <f t="shared" si="136"/>
        <v>0</v>
      </c>
      <c r="AZ474">
        <f t="shared" si="143"/>
        <v>0</v>
      </c>
      <c r="BA474">
        <f t="shared" si="144"/>
        <v>0</v>
      </c>
      <c r="BB474">
        <f t="shared" si="137"/>
        <v>8867861.29797591</v>
      </c>
      <c r="BC474">
        <f t="shared" si="129"/>
        <v>110848.266224699</v>
      </c>
      <c r="BD474">
        <f t="shared" si="130"/>
        <v>0.0125</v>
      </c>
      <c r="BG474">
        <f t="shared" si="138"/>
        <v>0</v>
      </c>
      <c r="BH474">
        <f t="shared" si="139"/>
        <v>7170079.31508434</v>
      </c>
      <c r="BI474">
        <f t="shared" si="131"/>
        <v>89625.9914385543</v>
      </c>
      <c r="BJ474">
        <f t="shared" si="132"/>
        <v>0.0125</v>
      </c>
    </row>
    <row r="475" spans="39:62">
      <c r="AM475">
        <v>66.42</v>
      </c>
      <c r="AN475">
        <f t="shared" si="133"/>
        <v>0</v>
      </c>
      <c r="AO475">
        <f t="shared" si="140"/>
        <v>0</v>
      </c>
      <c r="AP475">
        <f t="shared" si="141"/>
        <v>0</v>
      </c>
      <c r="AQ475">
        <f t="shared" si="145"/>
        <v>0</v>
      </c>
      <c r="AR475">
        <f t="shared" si="142"/>
        <v>7718359.29251081</v>
      </c>
      <c r="AS475">
        <f t="shared" si="134"/>
        <v>96479.4911563852</v>
      </c>
      <c r="AT475">
        <f t="shared" si="135"/>
        <v>0.0125</v>
      </c>
      <c r="AW475">
        <v>160.16</v>
      </c>
      <c r="AX475">
        <f t="shared" si="128"/>
        <v>0</v>
      </c>
      <c r="AY475">
        <f t="shared" si="136"/>
        <v>0</v>
      </c>
      <c r="AZ475">
        <f t="shared" si="143"/>
        <v>0</v>
      </c>
      <c r="BA475">
        <f t="shared" si="144"/>
        <v>0</v>
      </c>
      <c r="BB475">
        <f t="shared" si="137"/>
        <v>8867861.29797591</v>
      </c>
      <c r="BC475">
        <f t="shared" si="129"/>
        <v>110848.266224699</v>
      </c>
      <c r="BD475">
        <f t="shared" si="130"/>
        <v>0.0125</v>
      </c>
      <c r="BG475">
        <f t="shared" si="138"/>
        <v>0</v>
      </c>
      <c r="BH475">
        <f t="shared" si="139"/>
        <v>7170079.31508434</v>
      </c>
      <c r="BI475">
        <f t="shared" si="131"/>
        <v>89625.9914385543</v>
      </c>
      <c r="BJ475">
        <f t="shared" si="132"/>
        <v>0.0125</v>
      </c>
    </row>
    <row r="476" spans="39:62">
      <c r="AM476">
        <v>66.105</v>
      </c>
      <c r="AN476">
        <f t="shared" si="133"/>
        <v>0</v>
      </c>
      <c r="AO476">
        <f t="shared" si="140"/>
        <v>0</v>
      </c>
      <c r="AP476">
        <f t="shared" si="141"/>
        <v>0</v>
      </c>
      <c r="AQ476">
        <f t="shared" si="145"/>
        <v>0</v>
      </c>
      <c r="AR476">
        <f t="shared" si="142"/>
        <v>7718359.29251081</v>
      </c>
      <c r="AS476">
        <f t="shared" si="134"/>
        <v>96479.4911563852</v>
      </c>
      <c r="AT476">
        <f t="shared" si="135"/>
        <v>0.0125</v>
      </c>
      <c r="AW476">
        <v>160.87</v>
      </c>
      <c r="AX476">
        <f t="shared" si="128"/>
        <v>0</v>
      </c>
      <c r="AY476">
        <f t="shared" si="136"/>
        <v>0</v>
      </c>
      <c r="AZ476">
        <f t="shared" si="143"/>
        <v>0</v>
      </c>
      <c r="BA476">
        <f t="shared" si="144"/>
        <v>0</v>
      </c>
      <c r="BB476">
        <f t="shared" si="137"/>
        <v>8867861.29797591</v>
      </c>
      <c r="BC476">
        <f t="shared" si="129"/>
        <v>110848.266224699</v>
      </c>
      <c r="BD476">
        <f t="shared" si="130"/>
        <v>0.0125</v>
      </c>
      <c r="BG476">
        <f t="shared" si="138"/>
        <v>0</v>
      </c>
      <c r="BH476">
        <f t="shared" si="139"/>
        <v>7170079.31508434</v>
      </c>
      <c r="BI476">
        <f t="shared" si="131"/>
        <v>89625.9914385543</v>
      </c>
      <c r="BJ476">
        <f t="shared" si="132"/>
        <v>0.0125</v>
      </c>
    </row>
    <row r="477" spans="39:62">
      <c r="AM477">
        <v>65.85</v>
      </c>
      <c r="AN477">
        <f t="shared" si="133"/>
        <v>0</v>
      </c>
      <c r="AO477">
        <f t="shared" si="140"/>
        <v>0</v>
      </c>
      <c r="AP477">
        <f t="shared" si="141"/>
        <v>0</v>
      </c>
      <c r="AQ477">
        <f t="shared" si="145"/>
        <v>0</v>
      </c>
      <c r="AR477">
        <f t="shared" si="142"/>
        <v>7718359.29251081</v>
      </c>
      <c r="AS477">
        <f t="shared" si="134"/>
        <v>96479.4911563852</v>
      </c>
      <c r="AT477">
        <f t="shared" si="135"/>
        <v>0.0125</v>
      </c>
      <c r="AW477">
        <v>160.35</v>
      </c>
      <c r="AX477">
        <f t="shared" si="128"/>
        <v>0</v>
      </c>
      <c r="AY477">
        <f t="shared" si="136"/>
        <v>0</v>
      </c>
      <c r="AZ477">
        <f t="shared" si="143"/>
        <v>0</v>
      </c>
      <c r="BA477">
        <f t="shared" si="144"/>
        <v>0</v>
      </c>
      <c r="BB477">
        <f t="shared" si="137"/>
        <v>8867861.29797591</v>
      </c>
      <c r="BC477">
        <f t="shared" si="129"/>
        <v>110848.266224699</v>
      </c>
      <c r="BD477">
        <f t="shared" si="130"/>
        <v>0.0125</v>
      </c>
      <c r="BG477">
        <f t="shared" si="138"/>
        <v>0</v>
      </c>
      <c r="BH477">
        <f t="shared" si="139"/>
        <v>7170079.31508434</v>
      </c>
      <c r="BI477">
        <f t="shared" si="131"/>
        <v>89625.9914385543</v>
      </c>
      <c r="BJ477">
        <f t="shared" si="132"/>
        <v>0.0125</v>
      </c>
    </row>
    <row r="478" spans="39:62">
      <c r="AM478">
        <v>65.59</v>
      </c>
      <c r="AN478">
        <f t="shared" si="133"/>
        <v>0</v>
      </c>
      <c r="AO478">
        <f t="shared" si="140"/>
        <v>0</v>
      </c>
      <c r="AP478">
        <f t="shared" si="141"/>
        <v>0</v>
      </c>
      <c r="AQ478">
        <f t="shared" si="145"/>
        <v>0</v>
      </c>
      <c r="AR478">
        <f t="shared" si="142"/>
        <v>7718359.29251081</v>
      </c>
      <c r="AS478">
        <f t="shared" si="134"/>
        <v>96479.4911563852</v>
      </c>
      <c r="AT478">
        <f t="shared" si="135"/>
        <v>0.0125</v>
      </c>
      <c r="AW478">
        <v>160.44</v>
      </c>
      <c r="AX478">
        <f t="shared" si="128"/>
        <v>0</v>
      </c>
      <c r="AY478">
        <f t="shared" si="136"/>
        <v>0</v>
      </c>
      <c r="AZ478">
        <f t="shared" si="143"/>
        <v>0</v>
      </c>
      <c r="BA478">
        <f t="shared" si="144"/>
        <v>0</v>
      </c>
      <c r="BB478">
        <f t="shared" si="137"/>
        <v>8867861.29797591</v>
      </c>
      <c r="BC478">
        <f t="shared" si="129"/>
        <v>110848.266224699</v>
      </c>
      <c r="BD478">
        <f t="shared" si="130"/>
        <v>0.0125</v>
      </c>
      <c r="BG478">
        <f t="shared" si="138"/>
        <v>0</v>
      </c>
      <c r="BH478">
        <f t="shared" si="139"/>
        <v>7170079.31508434</v>
      </c>
      <c r="BI478">
        <f t="shared" si="131"/>
        <v>89625.9914385543</v>
      </c>
      <c r="BJ478">
        <f t="shared" si="132"/>
        <v>0.0125</v>
      </c>
    </row>
    <row r="479" spans="39:62">
      <c r="AM479">
        <v>65.84</v>
      </c>
      <c r="AN479">
        <f t="shared" si="133"/>
        <v>0</v>
      </c>
      <c r="AO479">
        <f t="shared" si="140"/>
        <v>0</v>
      </c>
      <c r="AP479">
        <f t="shared" si="141"/>
        <v>0</v>
      </c>
      <c r="AQ479">
        <f t="shared" si="145"/>
        <v>0</v>
      </c>
      <c r="AR479">
        <f t="shared" si="142"/>
        <v>7718359.29251081</v>
      </c>
      <c r="AS479">
        <f t="shared" si="134"/>
        <v>96479.4911563852</v>
      </c>
      <c r="AT479">
        <f t="shared" si="135"/>
        <v>0.0125</v>
      </c>
      <c r="AW479">
        <v>160.26</v>
      </c>
      <c r="AX479">
        <f t="shared" si="128"/>
        <v>0</v>
      </c>
      <c r="AY479">
        <f t="shared" si="136"/>
        <v>0</v>
      </c>
      <c r="AZ479">
        <f t="shared" si="143"/>
        <v>0</v>
      </c>
      <c r="BA479">
        <f t="shared" si="144"/>
        <v>0</v>
      </c>
      <c r="BB479">
        <f t="shared" si="137"/>
        <v>8867861.29797591</v>
      </c>
      <c r="BC479">
        <f t="shared" si="129"/>
        <v>110848.266224699</v>
      </c>
      <c r="BD479">
        <f t="shared" si="130"/>
        <v>0.0125</v>
      </c>
      <c r="BG479">
        <f t="shared" si="138"/>
        <v>0</v>
      </c>
      <c r="BH479">
        <f t="shared" si="139"/>
        <v>7170079.31508434</v>
      </c>
      <c r="BI479">
        <f t="shared" si="131"/>
        <v>89625.9914385543</v>
      </c>
      <c r="BJ479">
        <f t="shared" si="132"/>
        <v>0.0125</v>
      </c>
    </row>
    <row r="480" spans="39:62">
      <c r="AM480">
        <v>65.775</v>
      </c>
      <c r="AN480">
        <f t="shared" si="133"/>
        <v>0</v>
      </c>
      <c r="AO480">
        <f t="shared" si="140"/>
        <v>0</v>
      </c>
      <c r="AP480">
        <f t="shared" si="141"/>
        <v>0</v>
      </c>
      <c r="AQ480">
        <f t="shared" si="145"/>
        <v>0</v>
      </c>
      <c r="AR480">
        <f t="shared" si="142"/>
        <v>7718359.29251081</v>
      </c>
      <c r="AS480">
        <f t="shared" si="134"/>
        <v>96479.4911563852</v>
      </c>
      <c r="AT480">
        <f t="shared" si="135"/>
        <v>0.0125</v>
      </c>
      <c r="AW480">
        <v>159.98</v>
      </c>
      <c r="AX480">
        <f t="shared" si="128"/>
        <v>0</v>
      </c>
      <c r="AY480">
        <f t="shared" si="136"/>
        <v>0</v>
      </c>
      <c r="AZ480">
        <f t="shared" si="143"/>
        <v>0</v>
      </c>
      <c r="BA480">
        <f t="shared" si="144"/>
        <v>0</v>
      </c>
      <c r="BB480">
        <f t="shared" si="137"/>
        <v>8867861.29797591</v>
      </c>
      <c r="BC480">
        <f t="shared" si="129"/>
        <v>110848.266224699</v>
      </c>
      <c r="BD480">
        <f t="shared" si="130"/>
        <v>0.0125</v>
      </c>
      <c r="BG480">
        <f t="shared" si="138"/>
        <v>0</v>
      </c>
      <c r="BH480">
        <f t="shared" si="139"/>
        <v>7170079.31508434</v>
      </c>
      <c r="BI480">
        <f t="shared" si="131"/>
        <v>89625.9914385543</v>
      </c>
      <c r="BJ480">
        <f t="shared" si="132"/>
        <v>0.0125</v>
      </c>
    </row>
    <row r="481" spans="39:62">
      <c r="AM481">
        <v>65.625</v>
      </c>
      <c r="AN481">
        <f t="shared" si="133"/>
        <v>0</v>
      </c>
      <c r="AO481">
        <f t="shared" si="140"/>
        <v>0</v>
      </c>
      <c r="AP481">
        <f t="shared" si="141"/>
        <v>0</v>
      </c>
      <c r="AQ481">
        <f t="shared" si="145"/>
        <v>0</v>
      </c>
      <c r="AR481">
        <f t="shared" si="142"/>
        <v>7718359.29251081</v>
      </c>
      <c r="AS481">
        <f t="shared" si="134"/>
        <v>96479.4911563852</v>
      </c>
      <c r="AT481">
        <f t="shared" si="135"/>
        <v>0.0125</v>
      </c>
      <c r="AW481">
        <v>159.63</v>
      </c>
      <c r="AX481">
        <f t="shared" si="128"/>
        <v>0</v>
      </c>
      <c r="AY481">
        <f t="shared" si="136"/>
        <v>0</v>
      </c>
      <c r="AZ481">
        <f t="shared" si="143"/>
        <v>0</v>
      </c>
      <c r="BA481">
        <f t="shared" si="144"/>
        <v>0</v>
      </c>
      <c r="BB481">
        <f t="shared" si="137"/>
        <v>8867861.29797591</v>
      </c>
      <c r="BC481">
        <f t="shared" si="129"/>
        <v>110848.266224699</v>
      </c>
      <c r="BD481">
        <f t="shared" si="130"/>
        <v>0.0125</v>
      </c>
      <c r="BG481">
        <f t="shared" si="138"/>
        <v>0</v>
      </c>
      <c r="BH481">
        <f t="shared" si="139"/>
        <v>7170079.31508434</v>
      </c>
      <c r="BI481">
        <f t="shared" si="131"/>
        <v>89625.9914385543</v>
      </c>
      <c r="BJ481">
        <f t="shared" si="132"/>
        <v>0.0125</v>
      </c>
    </row>
    <row r="482" spans="39:62">
      <c r="AM482">
        <v>65.89</v>
      </c>
      <c r="AN482">
        <f t="shared" si="133"/>
        <v>0</v>
      </c>
      <c r="AO482">
        <f t="shared" si="140"/>
        <v>0</v>
      </c>
      <c r="AP482">
        <f t="shared" si="141"/>
        <v>0</v>
      </c>
      <c r="AQ482">
        <f t="shared" si="145"/>
        <v>0</v>
      </c>
      <c r="AR482">
        <f t="shared" si="142"/>
        <v>7718359.29251081</v>
      </c>
      <c r="AS482">
        <f t="shared" si="134"/>
        <v>96479.4911563852</v>
      </c>
      <c r="AT482">
        <f t="shared" si="135"/>
        <v>0.0125</v>
      </c>
      <c r="AW482">
        <v>159.74</v>
      </c>
      <c r="AX482">
        <f t="shared" si="128"/>
        <v>0</v>
      </c>
      <c r="AY482">
        <f t="shared" si="136"/>
        <v>0</v>
      </c>
      <c r="AZ482">
        <f t="shared" si="143"/>
        <v>0</v>
      </c>
      <c r="BA482">
        <f t="shared" si="144"/>
        <v>0</v>
      </c>
      <c r="BB482">
        <f t="shared" si="137"/>
        <v>8867861.29797591</v>
      </c>
      <c r="BC482">
        <f t="shared" si="129"/>
        <v>110848.266224699</v>
      </c>
      <c r="BD482">
        <f t="shared" si="130"/>
        <v>0.0125</v>
      </c>
      <c r="BG482">
        <f t="shared" si="138"/>
        <v>0</v>
      </c>
      <c r="BH482">
        <f t="shared" si="139"/>
        <v>7170079.31508434</v>
      </c>
      <c r="BI482">
        <f t="shared" si="131"/>
        <v>89625.9914385543</v>
      </c>
      <c r="BJ482">
        <f t="shared" si="132"/>
        <v>0.0125</v>
      </c>
    </row>
    <row r="483" spans="39:62">
      <c r="AM483">
        <v>66.375</v>
      </c>
      <c r="AN483">
        <f t="shared" si="133"/>
        <v>0</v>
      </c>
      <c r="AO483">
        <f t="shared" si="140"/>
        <v>0</v>
      </c>
      <c r="AP483">
        <f t="shared" si="141"/>
        <v>0</v>
      </c>
      <c r="AQ483">
        <f t="shared" si="145"/>
        <v>0</v>
      </c>
      <c r="AR483">
        <f t="shared" si="142"/>
        <v>7718359.29251081</v>
      </c>
      <c r="AS483">
        <f t="shared" si="134"/>
        <v>96479.4911563852</v>
      </c>
      <c r="AT483">
        <f t="shared" si="135"/>
        <v>0.0125</v>
      </c>
      <c r="AW483">
        <v>159.7</v>
      </c>
      <c r="AX483">
        <f t="shared" si="128"/>
        <v>0</v>
      </c>
      <c r="AY483">
        <f t="shared" si="136"/>
        <v>0</v>
      </c>
      <c r="AZ483">
        <f t="shared" si="143"/>
        <v>0</v>
      </c>
      <c r="BA483">
        <f t="shared" si="144"/>
        <v>0</v>
      </c>
      <c r="BB483">
        <f t="shared" si="137"/>
        <v>8867861.29797591</v>
      </c>
      <c r="BC483">
        <f t="shared" si="129"/>
        <v>110848.266224699</v>
      </c>
      <c r="BD483">
        <f t="shared" si="130"/>
        <v>0.0125</v>
      </c>
      <c r="BG483">
        <f t="shared" si="138"/>
        <v>0</v>
      </c>
      <c r="BH483">
        <f t="shared" si="139"/>
        <v>7170079.31508434</v>
      </c>
      <c r="BI483">
        <f t="shared" si="131"/>
        <v>89625.9914385543</v>
      </c>
      <c r="BJ483">
        <f t="shared" si="132"/>
        <v>0.0125</v>
      </c>
    </row>
    <row r="484" spans="39:62">
      <c r="AM484">
        <v>65.84</v>
      </c>
      <c r="AN484">
        <f t="shared" si="133"/>
        <v>0</v>
      </c>
      <c r="AO484">
        <f t="shared" si="140"/>
        <v>0</v>
      </c>
      <c r="AP484">
        <f t="shared" si="141"/>
        <v>0</v>
      </c>
      <c r="AQ484">
        <f t="shared" si="145"/>
        <v>0</v>
      </c>
      <c r="AR484">
        <f t="shared" si="142"/>
        <v>7718359.29251081</v>
      </c>
      <c r="AS484">
        <f t="shared" si="134"/>
        <v>96479.4911563852</v>
      </c>
      <c r="AT484">
        <f t="shared" si="135"/>
        <v>0.0125</v>
      </c>
      <c r="AW484">
        <v>159.5</v>
      </c>
      <c r="AX484">
        <f t="shared" si="128"/>
        <v>0</v>
      </c>
      <c r="AY484">
        <f t="shared" si="136"/>
        <v>0</v>
      </c>
      <c r="AZ484">
        <f t="shared" si="143"/>
        <v>0</v>
      </c>
      <c r="BA484">
        <f t="shared" si="144"/>
        <v>0</v>
      </c>
      <c r="BB484">
        <f t="shared" si="137"/>
        <v>8867861.29797591</v>
      </c>
      <c r="BC484">
        <f t="shared" si="129"/>
        <v>110848.266224699</v>
      </c>
      <c r="BD484">
        <f t="shared" si="130"/>
        <v>0.0125</v>
      </c>
      <c r="BG484">
        <f t="shared" si="138"/>
        <v>0</v>
      </c>
      <c r="BH484">
        <f t="shared" si="139"/>
        <v>7170079.31508434</v>
      </c>
      <c r="BI484">
        <f t="shared" si="131"/>
        <v>89625.9914385543</v>
      </c>
      <c r="BJ484">
        <f t="shared" si="132"/>
        <v>0.0125</v>
      </c>
    </row>
    <row r="485" spans="39:62">
      <c r="AM485">
        <v>66.7</v>
      </c>
      <c r="AN485">
        <f t="shared" si="133"/>
        <v>0</v>
      </c>
      <c r="AO485">
        <f t="shared" si="140"/>
        <v>0</v>
      </c>
      <c r="AP485">
        <f t="shared" si="141"/>
        <v>0</v>
      </c>
      <c r="AQ485">
        <f t="shared" si="145"/>
        <v>0</v>
      </c>
      <c r="AR485">
        <f t="shared" si="142"/>
        <v>7718359.29251081</v>
      </c>
      <c r="AS485">
        <f t="shared" si="134"/>
        <v>96479.4911563852</v>
      </c>
      <c r="AT485">
        <f t="shared" si="135"/>
        <v>0.0125</v>
      </c>
      <c r="AW485">
        <v>159.37</v>
      </c>
      <c r="AX485">
        <f t="shared" si="128"/>
        <v>0</v>
      </c>
      <c r="AY485">
        <f t="shared" si="136"/>
        <v>0</v>
      </c>
      <c r="AZ485">
        <f t="shared" si="143"/>
        <v>0</v>
      </c>
      <c r="BA485">
        <f t="shared" si="144"/>
        <v>0</v>
      </c>
      <c r="BB485">
        <f t="shared" si="137"/>
        <v>8867861.29797591</v>
      </c>
      <c r="BC485">
        <f t="shared" si="129"/>
        <v>110848.266224699</v>
      </c>
      <c r="BD485">
        <f t="shared" si="130"/>
        <v>0.0125</v>
      </c>
      <c r="BG485">
        <f t="shared" si="138"/>
        <v>0</v>
      </c>
      <c r="BH485">
        <f t="shared" si="139"/>
        <v>7170079.31508434</v>
      </c>
      <c r="BI485">
        <f t="shared" si="131"/>
        <v>89625.9914385543</v>
      </c>
      <c r="BJ485">
        <f t="shared" si="132"/>
        <v>0.0125</v>
      </c>
    </row>
    <row r="486" spans="39:62">
      <c r="AM486">
        <v>65.815</v>
      </c>
      <c r="AN486">
        <f t="shared" si="133"/>
        <v>0</v>
      </c>
      <c r="AO486">
        <f t="shared" si="140"/>
        <v>0</v>
      </c>
      <c r="AP486">
        <f t="shared" si="141"/>
        <v>0</v>
      </c>
      <c r="AQ486">
        <f t="shared" si="145"/>
        <v>0</v>
      </c>
      <c r="AR486">
        <f t="shared" si="142"/>
        <v>7718359.29251081</v>
      </c>
      <c r="AS486">
        <f t="shared" si="134"/>
        <v>96479.4911563852</v>
      </c>
      <c r="AT486">
        <f t="shared" si="135"/>
        <v>0.0125</v>
      </c>
      <c r="AW486">
        <v>160.03</v>
      </c>
      <c r="AX486">
        <f t="shared" si="128"/>
        <v>0</v>
      </c>
      <c r="AY486">
        <f t="shared" si="136"/>
        <v>0</v>
      </c>
      <c r="AZ486">
        <f t="shared" si="143"/>
        <v>0</v>
      </c>
      <c r="BA486">
        <f t="shared" si="144"/>
        <v>0</v>
      </c>
      <c r="BB486">
        <f t="shared" si="137"/>
        <v>8867861.29797591</v>
      </c>
      <c r="BC486">
        <f t="shared" si="129"/>
        <v>110848.266224699</v>
      </c>
      <c r="BD486">
        <f t="shared" si="130"/>
        <v>0.0125</v>
      </c>
      <c r="BG486">
        <f t="shared" si="138"/>
        <v>0</v>
      </c>
      <c r="BH486">
        <f t="shared" si="139"/>
        <v>7170079.31508434</v>
      </c>
      <c r="BI486">
        <f t="shared" si="131"/>
        <v>89625.9914385543</v>
      </c>
      <c r="BJ486">
        <f t="shared" si="132"/>
        <v>0.0125</v>
      </c>
    </row>
    <row r="487" spans="39:62">
      <c r="AM487">
        <v>65.7</v>
      </c>
      <c r="AN487">
        <f t="shared" si="133"/>
        <v>0</v>
      </c>
      <c r="AO487">
        <f t="shared" si="140"/>
        <v>0</v>
      </c>
      <c r="AP487">
        <f t="shared" si="141"/>
        <v>0</v>
      </c>
      <c r="AQ487">
        <f t="shared" si="145"/>
        <v>0</v>
      </c>
      <c r="AR487">
        <f t="shared" si="142"/>
        <v>7718359.29251081</v>
      </c>
      <c r="AS487">
        <f t="shared" si="134"/>
        <v>96479.4911563852</v>
      </c>
      <c r="AT487">
        <f t="shared" si="135"/>
        <v>0.0125</v>
      </c>
      <c r="AW487">
        <v>160.29</v>
      </c>
      <c r="AX487">
        <f t="shared" si="128"/>
        <v>0</v>
      </c>
      <c r="AY487">
        <f t="shared" si="136"/>
        <v>0</v>
      </c>
      <c r="AZ487">
        <f t="shared" si="143"/>
        <v>0</v>
      </c>
      <c r="BA487">
        <f t="shared" si="144"/>
        <v>0</v>
      </c>
      <c r="BB487">
        <f t="shared" si="137"/>
        <v>8867861.29797591</v>
      </c>
      <c r="BC487">
        <f t="shared" si="129"/>
        <v>110848.266224699</v>
      </c>
      <c r="BD487">
        <f t="shared" si="130"/>
        <v>0.0125</v>
      </c>
      <c r="BG487">
        <f t="shared" si="138"/>
        <v>0</v>
      </c>
      <c r="BH487">
        <f t="shared" si="139"/>
        <v>7170079.31508434</v>
      </c>
      <c r="BI487">
        <f t="shared" si="131"/>
        <v>89625.9914385543</v>
      </c>
      <c r="BJ487">
        <f t="shared" si="132"/>
        <v>0.0125</v>
      </c>
    </row>
    <row r="488" spans="39:62">
      <c r="AM488">
        <v>65.335</v>
      </c>
      <c r="AN488">
        <f t="shared" si="133"/>
        <v>0</v>
      </c>
      <c r="AO488">
        <f t="shared" si="140"/>
        <v>0</v>
      </c>
      <c r="AP488">
        <f t="shared" si="141"/>
        <v>0</v>
      </c>
      <c r="AQ488">
        <f t="shared" si="145"/>
        <v>0</v>
      </c>
      <c r="AR488">
        <f t="shared" si="142"/>
        <v>7718359.29251081</v>
      </c>
      <c r="AS488">
        <f t="shared" si="134"/>
        <v>96479.4911563852</v>
      </c>
      <c r="AT488">
        <f t="shared" si="135"/>
        <v>0.0125</v>
      </c>
      <c r="AW488">
        <v>160.08</v>
      </c>
      <c r="AX488">
        <f t="shared" si="128"/>
        <v>0</v>
      </c>
      <c r="AY488">
        <f t="shared" si="136"/>
        <v>0</v>
      </c>
      <c r="AZ488">
        <f t="shared" si="143"/>
        <v>0</v>
      </c>
      <c r="BA488">
        <f t="shared" si="144"/>
        <v>0</v>
      </c>
      <c r="BB488">
        <f t="shared" si="137"/>
        <v>8867861.29797591</v>
      </c>
      <c r="BC488">
        <f t="shared" si="129"/>
        <v>110848.266224699</v>
      </c>
      <c r="BD488">
        <f t="shared" si="130"/>
        <v>0.0125</v>
      </c>
      <c r="BG488">
        <f t="shared" si="138"/>
        <v>0</v>
      </c>
      <c r="BH488">
        <f t="shared" si="139"/>
        <v>7170079.31508434</v>
      </c>
      <c r="BI488">
        <f t="shared" si="131"/>
        <v>89625.9914385543</v>
      </c>
      <c r="BJ488">
        <f t="shared" si="132"/>
        <v>0.0125</v>
      </c>
    </row>
    <row r="489" spans="39:62">
      <c r="AM489">
        <v>64.87</v>
      </c>
      <c r="AN489">
        <f t="shared" si="133"/>
        <v>0</v>
      </c>
      <c r="AO489">
        <f t="shared" si="140"/>
        <v>0</v>
      </c>
      <c r="AP489">
        <f t="shared" si="141"/>
        <v>0</v>
      </c>
      <c r="AQ489">
        <f t="shared" si="145"/>
        <v>0</v>
      </c>
      <c r="AR489">
        <f t="shared" si="142"/>
        <v>7718359.29251081</v>
      </c>
      <c r="AS489">
        <f t="shared" si="134"/>
        <v>96479.4911563852</v>
      </c>
      <c r="AT489">
        <f t="shared" si="135"/>
        <v>0.0125</v>
      </c>
      <c r="AW489">
        <v>160.14</v>
      </c>
      <c r="AX489">
        <f t="shared" si="128"/>
        <v>0</v>
      </c>
      <c r="AY489">
        <f t="shared" si="136"/>
        <v>0</v>
      </c>
      <c r="AZ489">
        <f t="shared" si="143"/>
        <v>0</v>
      </c>
      <c r="BA489">
        <f t="shared" si="144"/>
        <v>0</v>
      </c>
      <c r="BB489">
        <f t="shared" si="137"/>
        <v>8867861.29797591</v>
      </c>
      <c r="BC489">
        <f t="shared" si="129"/>
        <v>110848.266224699</v>
      </c>
      <c r="BD489">
        <f t="shared" si="130"/>
        <v>0.0125</v>
      </c>
      <c r="BG489">
        <f t="shared" si="138"/>
        <v>0</v>
      </c>
      <c r="BH489">
        <f t="shared" si="139"/>
        <v>7170079.31508434</v>
      </c>
      <c r="BI489">
        <f t="shared" si="131"/>
        <v>89625.9914385543</v>
      </c>
      <c r="BJ489">
        <f t="shared" si="132"/>
        <v>0.0125</v>
      </c>
    </row>
    <row r="490" spans="39:62">
      <c r="AM490">
        <v>64.715</v>
      </c>
      <c r="AN490">
        <f t="shared" si="133"/>
        <v>0</v>
      </c>
      <c r="AO490">
        <f t="shared" si="140"/>
        <v>0</v>
      </c>
      <c r="AP490">
        <f t="shared" si="141"/>
        <v>0</v>
      </c>
      <c r="AQ490">
        <f t="shared" si="145"/>
        <v>0</v>
      </c>
      <c r="AR490">
        <f t="shared" si="142"/>
        <v>7718359.29251081</v>
      </c>
      <c r="AS490">
        <f t="shared" si="134"/>
        <v>96479.4911563852</v>
      </c>
      <c r="AT490">
        <f t="shared" si="135"/>
        <v>0.0125</v>
      </c>
      <c r="AW490">
        <v>160.81</v>
      </c>
      <c r="AX490">
        <f t="shared" si="128"/>
        <v>0</v>
      </c>
      <c r="AY490">
        <f t="shared" si="136"/>
        <v>0</v>
      </c>
      <c r="AZ490">
        <f t="shared" si="143"/>
        <v>0</v>
      </c>
      <c r="BA490">
        <f t="shared" si="144"/>
        <v>0</v>
      </c>
      <c r="BB490">
        <f t="shared" si="137"/>
        <v>8867861.29797591</v>
      </c>
      <c r="BC490">
        <f t="shared" si="129"/>
        <v>110848.266224699</v>
      </c>
      <c r="BD490">
        <f t="shared" si="130"/>
        <v>0.0125</v>
      </c>
      <c r="BG490">
        <f t="shared" si="138"/>
        <v>0</v>
      </c>
      <c r="BH490">
        <f t="shared" si="139"/>
        <v>7170079.31508434</v>
      </c>
      <c r="BI490">
        <f t="shared" si="131"/>
        <v>89625.9914385543</v>
      </c>
      <c r="BJ490">
        <f t="shared" si="132"/>
        <v>0.0125</v>
      </c>
    </row>
    <row r="491" spans="39:62">
      <c r="AM491">
        <v>64.57</v>
      </c>
      <c r="AN491">
        <f t="shared" si="133"/>
        <v>0</v>
      </c>
      <c r="AO491">
        <f t="shared" si="140"/>
        <v>0</v>
      </c>
      <c r="AP491">
        <f t="shared" si="141"/>
        <v>0</v>
      </c>
      <c r="AQ491">
        <f t="shared" si="145"/>
        <v>0</v>
      </c>
      <c r="AR491">
        <f t="shared" si="142"/>
        <v>7718359.29251081</v>
      </c>
      <c r="AS491">
        <f t="shared" si="134"/>
        <v>96479.4911563852</v>
      </c>
      <c r="AT491">
        <f t="shared" si="135"/>
        <v>0.0125</v>
      </c>
      <c r="AW491">
        <v>160.65</v>
      </c>
      <c r="AX491">
        <f t="shared" si="128"/>
        <v>0</v>
      </c>
      <c r="AY491">
        <f t="shared" si="136"/>
        <v>0</v>
      </c>
      <c r="AZ491">
        <f t="shared" si="143"/>
        <v>0</v>
      </c>
      <c r="BA491">
        <f t="shared" si="144"/>
        <v>0</v>
      </c>
      <c r="BB491">
        <f t="shared" si="137"/>
        <v>8867861.29797591</v>
      </c>
      <c r="BC491">
        <f t="shared" si="129"/>
        <v>110848.266224699</v>
      </c>
      <c r="BD491">
        <f t="shared" si="130"/>
        <v>0.0125</v>
      </c>
      <c r="BG491">
        <f t="shared" si="138"/>
        <v>0</v>
      </c>
      <c r="BH491">
        <f t="shared" si="139"/>
        <v>7170079.31508434</v>
      </c>
      <c r="BI491">
        <f t="shared" si="131"/>
        <v>89625.9914385543</v>
      </c>
      <c r="BJ491">
        <f t="shared" si="132"/>
        <v>0.0125</v>
      </c>
    </row>
    <row r="492" spans="39:62">
      <c r="AM492">
        <v>65.06</v>
      </c>
      <c r="AN492">
        <f t="shared" si="133"/>
        <v>0</v>
      </c>
      <c r="AO492">
        <f t="shared" si="140"/>
        <v>0</v>
      </c>
      <c r="AP492">
        <f t="shared" si="141"/>
        <v>0</v>
      </c>
      <c r="AQ492">
        <f t="shared" si="145"/>
        <v>0</v>
      </c>
      <c r="AR492">
        <f t="shared" si="142"/>
        <v>7718359.29251081</v>
      </c>
      <c r="AS492">
        <f t="shared" si="134"/>
        <v>96479.4911563852</v>
      </c>
      <c r="AT492">
        <f t="shared" si="135"/>
        <v>0.0125</v>
      </c>
      <c r="AW492">
        <v>160.6</v>
      </c>
      <c r="AX492">
        <f t="shared" si="128"/>
        <v>0</v>
      </c>
      <c r="AY492">
        <f t="shared" si="136"/>
        <v>0</v>
      </c>
      <c r="AZ492">
        <f t="shared" si="143"/>
        <v>0</v>
      </c>
      <c r="BA492">
        <f t="shared" si="144"/>
        <v>0</v>
      </c>
      <c r="BB492">
        <f t="shared" si="137"/>
        <v>8867861.29797591</v>
      </c>
      <c r="BC492">
        <f t="shared" si="129"/>
        <v>110848.266224699</v>
      </c>
      <c r="BD492">
        <f t="shared" si="130"/>
        <v>0.0125</v>
      </c>
      <c r="BG492">
        <f t="shared" si="138"/>
        <v>0</v>
      </c>
      <c r="BH492">
        <f t="shared" si="139"/>
        <v>7170079.31508434</v>
      </c>
      <c r="BI492">
        <f t="shared" si="131"/>
        <v>89625.9914385543</v>
      </c>
      <c r="BJ492">
        <f t="shared" si="132"/>
        <v>0.0125</v>
      </c>
    </row>
    <row r="493" spans="39:62">
      <c r="AM493">
        <v>65.325</v>
      </c>
      <c r="AN493">
        <f t="shared" si="133"/>
        <v>0</v>
      </c>
      <c r="AO493">
        <f t="shared" si="140"/>
        <v>0</v>
      </c>
      <c r="AP493">
        <f t="shared" si="141"/>
        <v>0</v>
      </c>
      <c r="AQ493">
        <f t="shared" si="145"/>
        <v>0</v>
      </c>
      <c r="AR493">
        <f t="shared" si="142"/>
        <v>7718359.29251081</v>
      </c>
      <c r="AS493">
        <f t="shared" si="134"/>
        <v>96479.4911563852</v>
      </c>
      <c r="AT493">
        <f t="shared" si="135"/>
        <v>0.0125</v>
      </c>
      <c r="AW493">
        <v>160.89</v>
      </c>
      <c r="AX493">
        <f t="shared" si="128"/>
        <v>0</v>
      </c>
      <c r="AY493">
        <f t="shared" si="136"/>
        <v>0</v>
      </c>
      <c r="AZ493">
        <f t="shared" si="143"/>
        <v>0</v>
      </c>
      <c r="BA493">
        <f t="shared" si="144"/>
        <v>0</v>
      </c>
      <c r="BB493">
        <f t="shared" si="137"/>
        <v>8867861.29797591</v>
      </c>
      <c r="BC493">
        <f t="shared" si="129"/>
        <v>110848.266224699</v>
      </c>
      <c r="BD493">
        <f t="shared" si="130"/>
        <v>0.0125</v>
      </c>
      <c r="BG493">
        <f t="shared" si="138"/>
        <v>0</v>
      </c>
      <c r="BH493">
        <f t="shared" si="139"/>
        <v>7170079.31508434</v>
      </c>
      <c r="BI493">
        <f t="shared" si="131"/>
        <v>89625.9914385543</v>
      </c>
      <c r="BJ493">
        <f t="shared" si="132"/>
        <v>0.0125</v>
      </c>
    </row>
    <row r="494" spans="39:62">
      <c r="AM494">
        <v>64.98</v>
      </c>
      <c r="AN494">
        <f t="shared" si="133"/>
        <v>0</v>
      </c>
      <c r="AO494">
        <f t="shared" si="140"/>
        <v>0</v>
      </c>
      <c r="AP494">
        <f t="shared" si="141"/>
        <v>0</v>
      </c>
      <c r="AQ494">
        <f t="shared" si="145"/>
        <v>0</v>
      </c>
      <c r="AR494">
        <f t="shared" si="142"/>
        <v>7718359.29251081</v>
      </c>
      <c r="AS494">
        <f t="shared" si="134"/>
        <v>96479.4911563852</v>
      </c>
      <c r="AT494">
        <f t="shared" si="135"/>
        <v>0.0125</v>
      </c>
      <c r="AW494">
        <v>160.58</v>
      </c>
      <c r="AX494">
        <f t="shared" si="128"/>
        <v>0</v>
      </c>
      <c r="AY494">
        <f t="shared" si="136"/>
        <v>0</v>
      </c>
      <c r="AZ494">
        <f t="shared" si="143"/>
        <v>0</v>
      </c>
      <c r="BA494">
        <f t="shared" si="144"/>
        <v>0</v>
      </c>
      <c r="BB494">
        <f t="shared" si="137"/>
        <v>8867861.29797591</v>
      </c>
      <c r="BC494">
        <f t="shared" si="129"/>
        <v>110848.266224699</v>
      </c>
      <c r="BD494">
        <f t="shared" si="130"/>
        <v>0.0125</v>
      </c>
      <c r="BG494">
        <f t="shared" si="138"/>
        <v>0</v>
      </c>
      <c r="BH494">
        <f t="shared" si="139"/>
        <v>7170079.31508434</v>
      </c>
      <c r="BI494">
        <f t="shared" si="131"/>
        <v>89625.9914385543</v>
      </c>
      <c r="BJ494">
        <f t="shared" si="132"/>
        <v>0.0125</v>
      </c>
    </row>
    <row r="495" spans="39:62">
      <c r="AM495">
        <v>65.17</v>
      </c>
      <c r="AN495">
        <f t="shared" si="133"/>
        <v>0</v>
      </c>
      <c r="AO495">
        <f t="shared" si="140"/>
        <v>0</v>
      </c>
      <c r="AP495">
        <f t="shared" si="141"/>
        <v>0</v>
      </c>
      <c r="AQ495">
        <f t="shared" si="145"/>
        <v>0</v>
      </c>
      <c r="AR495">
        <f t="shared" si="142"/>
        <v>7718359.29251081</v>
      </c>
      <c r="AS495">
        <f t="shared" si="134"/>
        <v>96479.4911563852</v>
      </c>
      <c r="AT495">
        <f t="shared" si="135"/>
        <v>0.0125</v>
      </c>
      <c r="AW495">
        <v>160.63</v>
      </c>
      <c r="AX495">
        <f t="shared" si="128"/>
        <v>0</v>
      </c>
      <c r="AY495">
        <f t="shared" si="136"/>
        <v>0</v>
      </c>
      <c r="AZ495">
        <f t="shared" si="143"/>
        <v>0</v>
      </c>
      <c r="BA495">
        <f t="shared" si="144"/>
        <v>0</v>
      </c>
      <c r="BB495">
        <f t="shared" si="137"/>
        <v>8867861.29797591</v>
      </c>
      <c r="BC495">
        <f t="shared" si="129"/>
        <v>110848.266224699</v>
      </c>
      <c r="BD495">
        <f t="shared" si="130"/>
        <v>0.0125</v>
      </c>
      <c r="BG495">
        <f t="shared" si="138"/>
        <v>0</v>
      </c>
      <c r="BH495">
        <f t="shared" si="139"/>
        <v>7170079.31508434</v>
      </c>
      <c r="BI495">
        <f t="shared" si="131"/>
        <v>89625.9914385543</v>
      </c>
      <c r="BJ495">
        <f t="shared" si="132"/>
        <v>0.0125</v>
      </c>
    </row>
    <row r="496" spans="39:62">
      <c r="AM496">
        <v>64.99</v>
      </c>
      <c r="AN496">
        <f t="shared" si="133"/>
        <v>0</v>
      </c>
      <c r="AO496">
        <f t="shared" si="140"/>
        <v>0</v>
      </c>
      <c r="AP496">
        <f t="shared" si="141"/>
        <v>0</v>
      </c>
      <c r="AQ496">
        <f t="shared" si="145"/>
        <v>0</v>
      </c>
      <c r="AR496">
        <f t="shared" si="142"/>
        <v>7718359.29251081</v>
      </c>
      <c r="AS496">
        <f t="shared" si="134"/>
        <v>96479.4911563852</v>
      </c>
      <c r="AT496">
        <f t="shared" si="135"/>
        <v>0.0125</v>
      </c>
      <c r="AW496">
        <v>161.1</v>
      </c>
      <c r="AX496">
        <f t="shared" si="128"/>
        <v>0</v>
      </c>
      <c r="AY496">
        <f t="shared" si="136"/>
        <v>0</v>
      </c>
      <c r="AZ496">
        <f t="shared" si="143"/>
        <v>0</v>
      </c>
      <c r="BA496">
        <f t="shared" si="144"/>
        <v>0</v>
      </c>
      <c r="BB496">
        <f t="shared" si="137"/>
        <v>8867861.29797591</v>
      </c>
      <c r="BC496">
        <f t="shared" si="129"/>
        <v>110848.266224699</v>
      </c>
      <c r="BD496">
        <f t="shared" si="130"/>
        <v>0.0125</v>
      </c>
      <c r="BG496">
        <f t="shared" si="138"/>
        <v>0</v>
      </c>
      <c r="BH496">
        <f t="shared" si="139"/>
        <v>7170079.31508434</v>
      </c>
      <c r="BI496">
        <f t="shared" si="131"/>
        <v>89625.9914385543</v>
      </c>
      <c r="BJ496">
        <f t="shared" si="132"/>
        <v>0.0125</v>
      </c>
    </row>
    <row r="497" spans="39:62">
      <c r="AM497">
        <v>65.05</v>
      </c>
      <c r="AN497">
        <f t="shared" si="133"/>
        <v>0</v>
      </c>
      <c r="AO497">
        <f t="shared" si="140"/>
        <v>0</v>
      </c>
      <c r="AP497">
        <f t="shared" si="141"/>
        <v>0</v>
      </c>
      <c r="AQ497">
        <f t="shared" si="145"/>
        <v>0</v>
      </c>
      <c r="AR497">
        <f t="shared" si="142"/>
        <v>7718359.29251081</v>
      </c>
      <c r="AS497">
        <f t="shared" si="134"/>
        <v>96479.4911563852</v>
      </c>
      <c r="AT497">
        <f t="shared" si="135"/>
        <v>0.0125</v>
      </c>
      <c r="AW497">
        <v>160.74</v>
      </c>
      <c r="AX497">
        <f t="shared" si="128"/>
        <v>0</v>
      </c>
      <c r="AY497">
        <f t="shared" si="136"/>
        <v>0</v>
      </c>
      <c r="AZ497">
        <f t="shared" si="143"/>
        <v>0</v>
      </c>
      <c r="BA497">
        <f t="shared" si="144"/>
        <v>0</v>
      </c>
      <c r="BB497">
        <f t="shared" si="137"/>
        <v>8867861.29797591</v>
      </c>
      <c r="BC497">
        <f t="shared" si="129"/>
        <v>110848.266224699</v>
      </c>
      <c r="BD497">
        <f t="shared" si="130"/>
        <v>0.0125</v>
      </c>
      <c r="BG497">
        <f t="shared" si="138"/>
        <v>0</v>
      </c>
      <c r="BH497">
        <f t="shared" si="139"/>
        <v>7170079.31508434</v>
      </c>
      <c r="BI497">
        <f t="shared" si="131"/>
        <v>89625.9914385543</v>
      </c>
      <c r="BJ497">
        <f t="shared" si="132"/>
        <v>0.0125</v>
      </c>
    </row>
    <row r="498" spans="39:62">
      <c r="AM498">
        <v>64.61</v>
      </c>
      <c r="AN498">
        <f t="shared" si="133"/>
        <v>0</v>
      </c>
      <c r="AO498">
        <f t="shared" si="140"/>
        <v>0</v>
      </c>
      <c r="AP498">
        <f t="shared" si="141"/>
        <v>0</v>
      </c>
      <c r="AQ498">
        <f t="shared" si="145"/>
        <v>0</v>
      </c>
      <c r="AR498">
        <f t="shared" si="142"/>
        <v>7718359.29251081</v>
      </c>
      <c r="AS498">
        <f t="shared" si="134"/>
        <v>96479.4911563852</v>
      </c>
      <c r="AT498">
        <f t="shared" si="135"/>
        <v>0.0125</v>
      </c>
      <c r="AW498">
        <v>161.02</v>
      </c>
      <c r="AX498">
        <f t="shared" si="128"/>
        <v>0</v>
      </c>
      <c r="AY498">
        <f t="shared" si="136"/>
        <v>0</v>
      </c>
      <c r="AZ498">
        <f t="shared" si="143"/>
        <v>0</v>
      </c>
      <c r="BA498">
        <f t="shared" si="144"/>
        <v>0</v>
      </c>
      <c r="BB498">
        <f t="shared" si="137"/>
        <v>8867861.29797591</v>
      </c>
      <c r="BC498">
        <f t="shared" si="129"/>
        <v>110848.266224699</v>
      </c>
      <c r="BD498">
        <f t="shared" si="130"/>
        <v>0.0125</v>
      </c>
      <c r="BG498">
        <f t="shared" si="138"/>
        <v>0</v>
      </c>
      <c r="BH498">
        <f t="shared" si="139"/>
        <v>7170079.31508434</v>
      </c>
      <c r="BI498">
        <f t="shared" si="131"/>
        <v>89625.9914385543</v>
      </c>
      <c r="BJ498">
        <f t="shared" si="132"/>
        <v>0.0125</v>
      </c>
    </row>
    <row r="499" spans="39:62">
      <c r="AM499">
        <v>64.61</v>
      </c>
      <c r="AN499">
        <f t="shared" si="133"/>
        <v>0</v>
      </c>
      <c r="AO499">
        <f t="shared" si="140"/>
        <v>0</v>
      </c>
      <c r="AP499">
        <f t="shared" si="141"/>
        <v>0</v>
      </c>
      <c r="AQ499">
        <f t="shared" si="145"/>
        <v>0</v>
      </c>
      <c r="AR499">
        <f t="shared" si="142"/>
        <v>7718359.29251081</v>
      </c>
      <c r="AS499">
        <f t="shared" si="134"/>
        <v>96479.4911563852</v>
      </c>
      <c r="AT499">
        <f t="shared" si="135"/>
        <v>0.0125</v>
      </c>
      <c r="AW499">
        <v>160.9</v>
      </c>
      <c r="AX499">
        <f t="shared" si="128"/>
        <v>0</v>
      </c>
      <c r="AY499">
        <f t="shared" si="136"/>
        <v>0</v>
      </c>
      <c r="AZ499">
        <f t="shared" si="143"/>
        <v>0</v>
      </c>
      <c r="BA499">
        <f t="shared" si="144"/>
        <v>0</v>
      </c>
      <c r="BB499">
        <f t="shared" si="137"/>
        <v>8867861.29797591</v>
      </c>
      <c r="BC499">
        <f t="shared" si="129"/>
        <v>110848.266224699</v>
      </c>
      <c r="BD499">
        <f t="shared" si="130"/>
        <v>0.0125</v>
      </c>
      <c r="BG499">
        <f t="shared" si="138"/>
        <v>0</v>
      </c>
      <c r="BH499">
        <f t="shared" si="139"/>
        <v>7170079.31508434</v>
      </c>
      <c r="BI499">
        <f t="shared" si="131"/>
        <v>89625.9914385543</v>
      </c>
      <c r="BJ499">
        <f t="shared" si="132"/>
        <v>0.0125</v>
      </c>
    </row>
    <row r="500" spans="39:62">
      <c r="AM500">
        <v>64.97</v>
      </c>
      <c r="AN500">
        <f t="shared" si="133"/>
        <v>0</v>
      </c>
      <c r="AO500">
        <f t="shared" si="140"/>
        <v>0</v>
      </c>
      <c r="AP500">
        <f t="shared" si="141"/>
        <v>0</v>
      </c>
      <c r="AQ500">
        <f t="shared" si="145"/>
        <v>0</v>
      </c>
      <c r="AR500">
        <f t="shared" si="142"/>
        <v>7718359.29251081</v>
      </c>
      <c r="AS500">
        <f t="shared" si="134"/>
        <v>96479.4911563852</v>
      </c>
      <c r="AT500">
        <f t="shared" si="135"/>
        <v>0.0125</v>
      </c>
      <c r="AW500">
        <v>161.41</v>
      </c>
      <c r="AX500">
        <f t="shared" si="128"/>
        <v>0</v>
      </c>
      <c r="AY500">
        <f t="shared" si="136"/>
        <v>0</v>
      </c>
      <c r="AZ500">
        <f t="shared" si="143"/>
        <v>0</v>
      </c>
      <c r="BA500">
        <f t="shared" si="144"/>
        <v>0</v>
      </c>
      <c r="BB500">
        <f t="shared" si="137"/>
        <v>8867861.29797591</v>
      </c>
      <c r="BC500">
        <f t="shared" si="129"/>
        <v>110848.266224699</v>
      </c>
      <c r="BD500">
        <f t="shared" si="130"/>
        <v>0.0125</v>
      </c>
      <c r="BG500">
        <f t="shared" si="138"/>
        <v>0</v>
      </c>
      <c r="BH500">
        <f t="shared" si="139"/>
        <v>7170079.31508434</v>
      </c>
      <c r="BI500">
        <f t="shared" si="131"/>
        <v>89625.9914385543</v>
      </c>
      <c r="BJ500">
        <f t="shared" si="132"/>
        <v>0.0125</v>
      </c>
    </row>
    <row r="501" spans="39:62">
      <c r="AM501">
        <v>65.225</v>
      </c>
      <c r="AN501">
        <f t="shared" si="133"/>
        <v>0</v>
      </c>
      <c r="AO501">
        <f t="shared" si="140"/>
        <v>0</v>
      </c>
      <c r="AP501">
        <f t="shared" si="141"/>
        <v>0</v>
      </c>
      <c r="AQ501">
        <f t="shared" si="145"/>
        <v>0</v>
      </c>
      <c r="AR501">
        <f t="shared" si="142"/>
        <v>7718359.29251081</v>
      </c>
      <c r="AS501">
        <f t="shared" si="134"/>
        <v>96479.4911563852</v>
      </c>
      <c r="AT501">
        <f t="shared" si="135"/>
        <v>0.0125</v>
      </c>
      <c r="AW501">
        <v>161.54</v>
      </c>
      <c r="AX501">
        <f t="shared" si="128"/>
        <v>0</v>
      </c>
      <c r="AY501">
        <f t="shared" si="136"/>
        <v>0</v>
      </c>
      <c r="AZ501">
        <f t="shared" si="143"/>
        <v>0</v>
      </c>
      <c r="BA501">
        <f t="shared" si="144"/>
        <v>0</v>
      </c>
      <c r="BB501">
        <f t="shared" si="137"/>
        <v>8867861.29797591</v>
      </c>
      <c r="BC501">
        <f t="shared" si="129"/>
        <v>110848.266224699</v>
      </c>
      <c r="BD501">
        <f t="shared" si="130"/>
        <v>0.0125</v>
      </c>
      <c r="BG501">
        <f t="shared" si="138"/>
        <v>0</v>
      </c>
      <c r="BH501">
        <f t="shared" si="139"/>
        <v>7170079.31508434</v>
      </c>
      <c r="BI501">
        <f t="shared" si="131"/>
        <v>89625.9914385543</v>
      </c>
      <c r="BJ501">
        <f t="shared" si="132"/>
        <v>0.0125</v>
      </c>
    </row>
    <row r="502" spans="39:62">
      <c r="AM502">
        <v>64.725</v>
      </c>
      <c r="AN502">
        <f t="shared" si="133"/>
        <v>0</v>
      </c>
      <c r="AO502">
        <f t="shared" si="140"/>
        <v>0</v>
      </c>
      <c r="AP502">
        <f t="shared" si="141"/>
        <v>0</v>
      </c>
      <c r="AQ502">
        <f t="shared" si="145"/>
        <v>0</v>
      </c>
      <c r="AR502">
        <f t="shared" si="142"/>
        <v>7718359.29251081</v>
      </c>
      <c r="AS502">
        <f t="shared" si="134"/>
        <v>96479.4911563852</v>
      </c>
      <c r="AT502">
        <f t="shared" si="135"/>
        <v>0.0125</v>
      </c>
      <c r="AW502">
        <v>162.38</v>
      </c>
      <c r="AX502">
        <f t="shared" si="128"/>
        <v>0</v>
      </c>
      <c r="AY502">
        <f t="shared" si="136"/>
        <v>0</v>
      </c>
      <c r="AZ502">
        <f t="shared" si="143"/>
        <v>0</v>
      </c>
      <c r="BA502">
        <f t="shared" si="144"/>
        <v>0</v>
      </c>
      <c r="BB502">
        <f t="shared" si="137"/>
        <v>8867861.29797591</v>
      </c>
      <c r="BC502">
        <f t="shared" si="129"/>
        <v>110848.266224699</v>
      </c>
      <c r="BD502">
        <f t="shared" si="130"/>
        <v>0.0125</v>
      </c>
      <c r="BG502">
        <f t="shared" si="138"/>
        <v>0</v>
      </c>
      <c r="BH502">
        <f t="shared" si="139"/>
        <v>7170079.31508434</v>
      </c>
      <c r="BI502">
        <f t="shared" si="131"/>
        <v>89625.9914385543</v>
      </c>
      <c r="BJ502">
        <f t="shared" si="132"/>
        <v>0.0125</v>
      </c>
    </row>
    <row r="503" spans="39:62">
      <c r="AM503">
        <v>64.805</v>
      </c>
      <c r="AN503">
        <f t="shared" si="133"/>
        <v>0</v>
      </c>
      <c r="AO503">
        <f t="shared" si="140"/>
        <v>0</v>
      </c>
      <c r="AP503">
        <f t="shared" si="141"/>
        <v>0</v>
      </c>
      <c r="AQ503">
        <f t="shared" si="145"/>
        <v>0</v>
      </c>
      <c r="AR503">
        <f t="shared" si="142"/>
        <v>7718359.29251081</v>
      </c>
      <c r="AS503">
        <f t="shared" si="134"/>
        <v>96479.4911563852</v>
      </c>
      <c r="AT503">
        <f t="shared" si="135"/>
        <v>0.0125</v>
      </c>
      <c r="AW503">
        <v>162.96</v>
      </c>
      <c r="AX503">
        <f t="shared" si="128"/>
        <v>0</v>
      </c>
      <c r="AY503">
        <f t="shared" si="136"/>
        <v>0</v>
      </c>
      <c r="AZ503">
        <f t="shared" si="143"/>
        <v>0</v>
      </c>
      <c r="BA503">
        <f t="shared" si="144"/>
        <v>0</v>
      </c>
      <c r="BB503">
        <f t="shared" si="137"/>
        <v>8867861.29797591</v>
      </c>
      <c r="BC503">
        <f t="shared" si="129"/>
        <v>110848.266224699</v>
      </c>
      <c r="BD503">
        <f t="shared" si="130"/>
        <v>0.0125</v>
      </c>
      <c r="BG503">
        <f t="shared" si="138"/>
        <v>0</v>
      </c>
      <c r="BH503">
        <f t="shared" si="139"/>
        <v>7170079.31508434</v>
      </c>
      <c r="BI503">
        <f t="shared" si="131"/>
        <v>89625.9914385543</v>
      </c>
      <c r="BJ503">
        <f t="shared" si="132"/>
        <v>0.0125</v>
      </c>
    </row>
    <row r="504" spans="39:62">
      <c r="AM504">
        <v>64.36</v>
      </c>
      <c r="AN504">
        <f t="shared" si="133"/>
        <v>0</v>
      </c>
      <c r="AO504">
        <f t="shared" si="140"/>
        <v>0</v>
      </c>
      <c r="AP504">
        <f t="shared" si="141"/>
        <v>0</v>
      </c>
      <c r="AQ504">
        <f t="shared" si="145"/>
        <v>0</v>
      </c>
      <c r="AR504">
        <f t="shared" si="142"/>
        <v>7718359.29251081</v>
      </c>
      <c r="AS504">
        <f t="shared" si="134"/>
        <v>96479.4911563852</v>
      </c>
      <c r="AT504">
        <f t="shared" si="135"/>
        <v>0.0125</v>
      </c>
      <c r="AW504">
        <v>162.85</v>
      </c>
      <c r="AX504">
        <f t="shared" si="128"/>
        <v>0</v>
      </c>
      <c r="AY504">
        <f t="shared" si="136"/>
        <v>0</v>
      </c>
      <c r="AZ504">
        <f t="shared" si="143"/>
        <v>0</v>
      </c>
      <c r="BA504">
        <f t="shared" si="144"/>
        <v>0</v>
      </c>
      <c r="BB504">
        <f t="shared" si="137"/>
        <v>8867861.29797591</v>
      </c>
      <c r="BC504">
        <f t="shared" si="129"/>
        <v>110848.266224699</v>
      </c>
      <c r="BD504">
        <f t="shared" si="130"/>
        <v>0.0125</v>
      </c>
      <c r="BG504">
        <f t="shared" si="138"/>
        <v>0</v>
      </c>
      <c r="BH504">
        <f t="shared" si="139"/>
        <v>7170079.31508434</v>
      </c>
      <c r="BI504">
        <f t="shared" si="131"/>
        <v>89625.9914385543</v>
      </c>
      <c r="BJ504">
        <f t="shared" si="132"/>
        <v>0.0125</v>
      </c>
    </row>
    <row r="505" spans="39:62">
      <c r="AM505">
        <v>64.54</v>
      </c>
      <c r="AN505">
        <f t="shared" si="133"/>
        <v>0</v>
      </c>
      <c r="AO505">
        <f t="shared" si="140"/>
        <v>0</v>
      </c>
      <c r="AP505">
        <f t="shared" si="141"/>
        <v>0</v>
      </c>
      <c r="AQ505">
        <f t="shared" si="145"/>
        <v>0</v>
      </c>
      <c r="AR505">
        <f t="shared" si="142"/>
        <v>7718359.29251081</v>
      </c>
      <c r="AS505">
        <f t="shared" si="134"/>
        <v>96479.4911563852</v>
      </c>
      <c r="AT505">
        <f t="shared" si="135"/>
        <v>0.0125</v>
      </c>
      <c r="AW505">
        <v>163.55</v>
      </c>
      <c r="AX505">
        <f t="shared" si="128"/>
        <v>0</v>
      </c>
      <c r="AY505">
        <f t="shared" si="136"/>
        <v>0</v>
      </c>
      <c r="AZ505">
        <f t="shared" si="143"/>
        <v>0</v>
      </c>
      <c r="BA505">
        <f t="shared" si="144"/>
        <v>0</v>
      </c>
      <c r="BB505">
        <f t="shared" si="137"/>
        <v>8867861.29797591</v>
      </c>
      <c r="BC505">
        <f t="shared" si="129"/>
        <v>110848.266224699</v>
      </c>
      <c r="BD505">
        <f t="shared" si="130"/>
        <v>0.0125</v>
      </c>
      <c r="BG505">
        <f t="shared" si="138"/>
        <v>0</v>
      </c>
      <c r="BH505">
        <f t="shared" si="139"/>
        <v>7170079.31508434</v>
      </c>
      <c r="BI505">
        <f t="shared" si="131"/>
        <v>89625.9914385543</v>
      </c>
      <c r="BJ505">
        <f t="shared" si="132"/>
        <v>0.0125</v>
      </c>
    </row>
    <row r="506" spans="39:62">
      <c r="AM506">
        <v>63.85</v>
      </c>
      <c r="AN506">
        <f t="shared" si="133"/>
        <v>0</v>
      </c>
      <c r="AO506">
        <f t="shared" si="140"/>
        <v>0</v>
      </c>
      <c r="AP506">
        <f t="shared" si="141"/>
        <v>0</v>
      </c>
      <c r="AQ506">
        <f t="shared" si="145"/>
        <v>0</v>
      </c>
      <c r="AR506">
        <f t="shared" si="142"/>
        <v>7718359.29251081</v>
      </c>
      <c r="AS506">
        <f t="shared" si="134"/>
        <v>96479.4911563852</v>
      </c>
      <c r="AT506">
        <f t="shared" si="135"/>
        <v>0.0125</v>
      </c>
      <c r="AW506">
        <v>163.17</v>
      </c>
      <c r="AX506">
        <f t="shared" si="128"/>
        <v>0</v>
      </c>
      <c r="AY506">
        <f t="shared" si="136"/>
        <v>0</v>
      </c>
      <c r="AZ506">
        <f t="shared" si="143"/>
        <v>0</v>
      </c>
      <c r="BA506">
        <f t="shared" si="144"/>
        <v>0</v>
      </c>
      <c r="BB506">
        <f t="shared" si="137"/>
        <v>8867861.29797591</v>
      </c>
      <c r="BC506">
        <f t="shared" si="129"/>
        <v>110848.266224699</v>
      </c>
      <c r="BD506">
        <f t="shared" si="130"/>
        <v>0.0125</v>
      </c>
      <c r="BG506">
        <f t="shared" si="138"/>
        <v>0</v>
      </c>
      <c r="BH506">
        <f t="shared" si="139"/>
        <v>7170079.31508434</v>
      </c>
      <c r="BI506">
        <f t="shared" si="131"/>
        <v>89625.9914385543</v>
      </c>
      <c r="BJ506">
        <f t="shared" si="132"/>
        <v>0.0125</v>
      </c>
    </row>
    <row r="507" spans="39:62">
      <c r="AM507">
        <v>64.44</v>
      </c>
      <c r="AN507">
        <f t="shared" si="133"/>
        <v>0</v>
      </c>
      <c r="AO507">
        <f t="shared" si="140"/>
        <v>0</v>
      </c>
      <c r="AP507">
        <f t="shared" si="141"/>
        <v>0</v>
      </c>
      <c r="AQ507">
        <f t="shared" si="145"/>
        <v>0</v>
      </c>
      <c r="AR507">
        <f t="shared" si="142"/>
        <v>7718359.29251081</v>
      </c>
      <c r="AS507">
        <f t="shared" si="134"/>
        <v>96479.4911563852</v>
      </c>
      <c r="AT507">
        <f t="shared" si="135"/>
        <v>0.0125</v>
      </c>
      <c r="AW507">
        <v>163.4</v>
      </c>
      <c r="AX507">
        <f t="shared" si="128"/>
        <v>0</v>
      </c>
      <c r="AY507">
        <f t="shared" si="136"/>
        <v>0</v>
      </c>
      <c r="AZ507">
        <f t="shared" si="143"/>
        <v>0</v>
      </c>
      <c r="BA507">
        <f t="shared" si="144"/>
        <v>0</v>
      </c>
      <c r="BB507">
        <f t="shared" si="137"/>
        <v>8867861.29797591</v>
      </c>
      <c r="BC507">
        <f t="shared" si="129"/>
        <v>110848.266224699</v>
      </c>
      <c r="BD507">
        <f t="shared" si="130"/>
        <v>0.0125</v>
      </c>
      <c r="BG507">
        <f t="shared" si="138"/>
        <v>0</v>
      </c>
      <c r="BH507">
        <f t="shared" si="139"/>
        <v>7170079.31508434</v>
      </c>
      <c r="BI507">
        <f t="shared" si="131"/>
        <v>89625.9914385543</v>
      </c>
      <c r="BJ507">
        <f t="shared" si="132"/>
        <v>0.0125</v>
      </c>
    </row>
    <row r="508" spans="39:62">
      <c r="AM508">
        <v>63.815</v>
      </c>
      <c r="AN508">
        <f t="shared" si="133"/>
        <v>0</v>
      </c>
      <c r="AO508">
        <f t="shared" si="140"/>
        <v>0</v>
      </c>
      <c r="AP508">
        <f t="shared" si="141"/>
        <v>0</v>
      </c>
      <c r="AQ508">
        <f t="shared" si="145"/>
        <v>0</v>
      </c>
      <c r="AR508">
        <f t="shared" si="142"/>
        <v>7718359.29251081</v>
      </c>
      <c r="AS508">
        <f t="shared" si="134"/>
        <v>96479.4911563852</v>
      </c>
      <c r="AT508">
        <f t="shared" si="135"/>
        <v>0.0125</v>
      </c>
      <c r="AW508">
        <v>163.48</v>
      </c>
      <c r="AX508">
        <f t="shared" si="128"/>
        <v>0</v>
      </c>
      <c r="AY508">
        <f t="shared" si="136"/>
        <v>0</v>
      </c>
      <c r="AZ508">
        <f t="shared" si="143"/>
        <v>0</v>
      </c>
      <c r="BA508">
        <f t="shared" si="144"/>
        <v>0</v>
      </c>
      <c r="BB508">
        <f t="shared" si="137"/>
        <v>8867861.29797591</v>
      </c>
      <c r="BC508">
        <f t="shared" si="129"/>
        <v>110848.266224699</v>
      </c>
      <c r="BD508">
        <f t="shared" si="130"/>
        <v>0.0125</v>
      </c>
      <c r="BG508">
        <f t="shared" si="138"/>
        <v>0</v>
      </c>
      <c r="BH508">
        <f t="shared" si="139"/>
        <v>7170079.31508434</v>
      </c>
      <c r="BI508">
        <f t="shared" si="131"/>
        <v>89625.9914385543</v>
      </c>
      <c r="BJ508">
        <f t="shared" si="132"/>
        <v>0.0125</v>
      </c>
    </row>
    <row r="509" spans="39:62">
      <c r="AM509">
        <v>63.715</v>
      </c>
      <c r="AN509">
        <f t="shared" si="133"/>
        <v>0</v>
      </c>
      <c r="AO509">
        <f t="shared" si="140"/>
        <v>0</v>
      </c>
      <c r="AP509">
        <f t="shared" si="141"/>
        <v>0</v>
      </c>
      <c r="AQ509">
        <f t="shared" si="145"/>
        <v>0</v>
      </c>
      <c r="AR509">
        <f t="shared" si="142"/>
        <v>7718359.29251081</v>
      </c>
      <c r="AS509">
        <f t="shared" si="134"/>
        <v>96479.4911563852</v>
      </c>
      <c r="AT509">
        <f t="shared" si="135"/>
        <v>0.0125</v>
      </c>
      <c r="AW509">
        <v>162.98</v>
      </c>
      <c r="AX509">
        <f t="shared" si="128"/>
        <v>0</v>
      </c>
      <c r="AY509">
        <f t="shared" si="136"/>
        <v>0</v>
      </c>
      <c r="AZ509">
        <f t="shared" si="143"/>
        <v>0</v>
      </c>
      <c r="BA509">
        <f t="shared" si="144"/>
        <v>0</v>
      </c>
      <c r="BB509">
        <f t="shared" si="137"/>
        <v>8867861.29797591</v>
      </c>
      <c r="BC509">
        <f t="shared" si="129"/>
        <v>110848.266224699</v>
      </c>
      <c r="BD509">
        <f t="shared" si="130"/>
        <v>0.0125</v>
      </c>
      <c r="BG509">
        <f t="shared" si="138"/>
        <v>0</v>
      </c>
      <c r="BH509">
        <f t="shared" si="139"/>
        <v>7170079.31508434</v>
      </c>
      <c r="BI509">
        <f t="shared" si="131"/>
        <v>89625.9914385543</v>
      </c>
      <c r="BJ509">
        <f t="shared" si="132"/>
        <v>0.0125</v>
      </c>
    </row>
    <row r="510" spans="39:62">
      <c r="AM510">
        <v>63.645</v>
      </c>
      <c r="AN510">
        <f t="shared" si="133"/>
        <v>0</v>
      </c>
      <c r="AO510">
        <f t="shared" si="140"/>
        <v>0</v>
      </c>
      <c r="AP510">
        <f t="shared" si="141"/>
        <v>0</v>
      </c>
      <c r="AQ510">
        <f t="shared" si="145"/>
        <v>0</v>
      </c>
      <c r="AR510">
        <f t="shared" si="142"/>
        <v>7718359.29251081</v>
      </c>
      <c r="AS510">
        <f t="shared" si="134"/>
        <v>96479.4911563852</v>
      </c>
      <c r="AT510">
        <f t="shared" si="135"/>
        <v>0.0125</v>
      </c>
      <c r="AW510">
        <v>162.87</v>
      </c>
      <c r="AX510">
        <f t="shared" si="128"/>
        <v>0</v>
      </c>
      <c r="AY510">
        <f t="shared" si="136"/>
        <v>0</v>
      </c>
      <c r="AZ510">
        <f t="shared" si="143"/>
        <v>0</v>
      </c>
      <c r="BA510">
        <f t="shared" si="144"/>
        <v>0</v>
      </c>
      <c r="BB510">
        <f t="shared" si="137"/>
        <v>8867861.29797591</v>
      </c>
      <c r="BC510">
        <f t="shared" si="129"/>
        <v>110848.266224699</v>
      </c>
      <c r="BD510">
        <f t="shared" si="130"/>
        <v>0.0125</v>
      </c>
      <c r="BG510">
        <f t="shared" si="138"/>
        <v>0</v>
      </c>
      <c r="BH510">
        <f t="shared" si="139"/>
        <v>7170079.31508434</v>
      </c>
      <c r="BI510">
        <f t="shared" si="131"/>
        <v>89625.9914385543</v>
      </c>
      <c r="BJ510">
        <f t="shared" si="132"/>
        <v>0.0125</v>
      </c>
    </row>
    <row r="511" spans="39:62">
      <c r="AM511">
        <v>63.58</v>
      </c>
      <c r="AN511">
        <f t="shared" si="133"/>
        <v>0</v>
      </c>
      <c r="AO511">
        <f t="shared" si="140"/>
        <v>0</v>
      </c>
      <c r="AP511">
        <f t="shared" si="141"/>
        <v>0</v>
      </c>
      <c r="AQ511">
        <f t="shared" si="145"/>
        <v>0</v>
      </c>
      <c r="AR511">
        <f t="shared" si="142"/>
        <v>7718359.29251081</v>
      </c>
      <c r="AS511">
        <f t="shared" si="134"/>
        <v>96479.4911563852</v>
      </c>
      <c r="AT511">
        <f t="shared" si="135"/>
        <v>0.0125</v>
      </c>
      <c r="AW511">
        <v>163.2</v>
      </c>
      <c r="AX511">
        <f t="shared" si="128"/>
        <v>0</v>
      </c>
      <c r="AY511">
        <f t="shared" si="136"/>
        <v>0</v>
      </c>
      <c r="AZ511">
        <f t="shared" si="143"/>
        <v>0</v>
      </c>
      <c r="BA511">
        <f t="shared" si="144"/>
        <v>0</v>
      </c>
      <c r="BB511">
        <f t="shared" si="137"/>
        <v>8867861.29797591</v>
      </c>
      <c r="BC511">
        <f t="shared" si="129"/>
        <v>110848.266224699</v>
      </c>
      <c r="BD511">
        <f t="shared" si="130"/>
        <v>0.0125</v>
      </c>
      <c r="BG511">
        <f t="shared" si="138"/>
        <v>0</v>
      </c>
      <c r="BH511">
        <f t="shared" si="139"/>
        <v>7170079.31508434</v>
      </c>
      <c r="BI511">
        <f t="shared" si="131"/>
        <v>89625.9914385543</v>
      </c>
      <c r="BJ511">
        <f t="shared" si="132"/>
        <v>0.0125</v>
      </c>
    </row>
    <row r="512" spans="39:62">
      <c r="AM512">
        <v>63.7</v>
      </c>
      <c r="AN512">
        <f t="shared" si="133"/>
        <v>0</v>
      </c>
      <c r="AO512">
        <f t="shared" si="140"/>
        <v>0</v>
      </c>
      <c r="AP512">
        <f t="shared" si="141"/>
        <v>0</v>
      </c>
      <c r="AQ512">
        <f t="shared" si="145"/>
        <v>0</v>
      </c>
      <c r="AR512">
        <f t="shared" si="142"/>
        <v>7718359.29251081</v>
      </c>
      <c r="AS512">
        <f t="shared" si="134"/>
        <v>96479.4911563852</v>
      </c>
      <c r="AT512">
        <f t="shared" si="135"/>
        <v>0.0125</v>
      </c>
      <c r="AW512">
        <v>163.14</v>
      </c>
      <c r="AX512">
        <f t="shared" si="128"/>
        <v>0</v>
      </c>
      <c r="AY512">
        <f t="shared" si="136"/>
        <v>0</v>
      </c>
      <c r="AZ512">
        <f t="shared" si="143"/>
        <v>0</v>
      </c>
      <c r="BA512">
        <f t="shared" si="144"/>
        <v>0</v>
      </c>
      <c r="BB512">
        <f t="shared" si="137"/>
        <v>8867861.29797591</v>
      </c>
      <c r="BC512">
        <f t="shared" si="129"/>
        <v>110848.266224699</v>
      </c>
      <c r="BD512">
        <f t="shared" si="130"/>
        <v>0.0125</v>
      </c>
      <c r="BG512">
        <f t="shared" si="138"/>
        <v>0</v>
      </c>
      <c r="BH512">
        <f t="shared" si="139"/>
        <v>7170079.31508434</v>
      </c>
      <c r="BI512">
        <f t="shared" si="131"/>
        <v>89625.9914385543</v>
      </c>
      <c r="BJ512">
        <f t="shared" si="132"/>
        <v>0.0125</v>
      </c>
    </row>
    <row r="513" spans="39:62">
      <c r="AM513">
        <v>63.36</v>
      </c>
      <c r="AN513">
        <f t="shared" si="133"/>
        <v>0</v>
      </c>
      <c r="AO513">
        <f t="shared" si="140"/>
        <v>0</v>
      </c>
      <c r="AP513">
        <f t="shared" si="141"/>
        <v>0</v>
      </c>
      <c r="AQ513">
        <f t="shared" si="145"/>
        <v>0</v>
      </c>
      <c r="AR513">
        <f t="shared" si="142"/>
        <v>7718359.29251081</v>
      </c>
      <c r="AS513">
        <f t="shared" si="134"/>
        <v>96479.4911563852</v>
      </c>
      <c r="AT513">
        <f t="shared" si="135"/>
        <v>0.0125</v>
      </c>
      <c r="AW513">
        <v>163.34</v>
      </c>
      <c r="AX513">
        <f t="shared" si="128"/>
        <v>0</v>
      </c>
      <c r="AY513">
        <f t="shared" si="136"/>
        <v>0</v>
      </c>
      <c r="AZ513">
        <f t="shared" si="143"/>
        <v>0</v>
      </c>
      <c r="BA513">
        <f t="shared" si="144"/>
        <v>0</v>
      </c>
      <c r="BB513">
        <f t="shared" si="137"/>
        <v>8867861.29797591</v>
      </c>
      <c r="BC513">
        <f t="shared" si="129"/>
        <v>110848.266224699</v>
      </c>
      <c r="BD513">
        <f t="shared" si="130"/>
        <v>0.0125</v>
      </c>
      <c r="BG513">
        <f t="shared" si="138"/>
        <v>0</v>
      </c>
      <c r="BH513">
        <f t="shared" si="139"/>
        <v>7170079.31508434</v>
      </c>
      <c r="BI513">
        <f t="shared" si="131"/>
        <v>89625.9914385543</v>
      </c>
      <c r="BJ513">
        <f t="shared" si="132"/>
        <v>0.0125</v>
      </c>
    </row>
    <row r="514" spans="39:62">
      <c r="AM514">
        <v>62.41</v>
      </c>
      <c r="AN514">
        <f t="shared" si="133"/>
        <v>0</v>
      </c>
      <c r="AO514">
        <f t="shared" si="140"/>
        <v>0</v>
      </c>
      <c r="AP514">
        <f t="shared" si="141"/>
        <v>0</v>
      </c>
      <c r="AQ514">
        <f t="shared" si="145"/>
        <v>0</v>
      </c>
      <c r="AR514">
        <f t="shared" si="142"/>
        <v>7718359.29251081</v>
      </c>
      <c r="AS514">
        <f t="shared" si="134"/>
        <v>96479.4911563852</v>
      </c>
      <c r="AT514">
        <f t="shared" si="135"/>
        <v>0.0125</v>
      </c>
      <c r="AW514">
        <v>163.38</v>
      </c>
      <c r="AX514">
        <f t="shared" ref="AX514:AX577" si="146">IF(V514&gt;0,AW514*1.01,IF(V514&lt;0,AW514*0.99,0))</f>
        <v>0</v>
      </c>
      <c r="AY514">
        <f t="shared" si="136"/>
        <v>0</v>
      </c>
      <c r="AZ514">
        <f t="shared" si="143"/>
        <v>0</v>
      </c>
      <c r="BA514">
        <f t="shared" si="144"/>
        <v>0</v>
      </c>
      <c r="BB514">
        <f t="shared" si="137"/>
        <v>8867861.29797591</v>
      </c>
      <c r="BC514">
        <f t="shared" ref="BC514:BC577" si="147">BB514*0.2/16</f>
        <v>110848.266224699</v>
      </c>
      <c r="BD514">
        <f t="shared" ref="BD514:BD577" si="148">BC514/BB514</f>
        <v>0.0125</v>
      </c>
      <c r="BG514">
        <f t="shared" si="138"/>
        <v>0</v>
      </c>
      <c r="BH514">
        <f t="shared" si="139"/>
        <v>7170079.31508434</v>
      </c>
      <c r="BI514">
        <f t="shared" ref="BI514:BI577" si="149">BH514*0.2/16</f>
        <v>89625.9914385543</v>
      </c>
      <c r="BJ514">
        <f t="shared" ref="BJ514:BJ577" si="150">BI514/BH514</f>
        <v>0.0125</v>
      </c>
    </row>
    <row r="515" spans="39:62">
      <c r="AM515">
        <v>62.435</v>
      </c>
      <c r="AN515">
        <f t="shared" ref="AN515:AN578" si="151">IF(L515&gt;0,AM515*1.01,IF(L515&lt;0,AM515*0.99,0))</f>
        <v>0</v>
      </c>
      <c r="AO515">
        <f t="shared" si="140"/>
        <v>0</v>
      </c>
      <c r="AP515">
        <f t="shared" si="141"/>
        <v>0</v>
      </c>
      <c r="AQ515">
        <f t="shared" si="145"/>
        <v>0</v>
      </c>
      <c r="AR515">
        <f t="shared" si="142"/>
        <v>7718359.29251081</v>
      </c>
      <c r="AS515">
        <f t="shared" ref="AS515:AS578" si="152">AR515*0.2/16</f>
        <v>96479.4911563852</v>
      </c>
      <c r="AT515">
        <f t="shared" ref="AT515:AT578" si="153">AS515/AR515</f>
        <v>0.0125</v>
      </c>
      <c r="AW515">
        <v>163.56</v>
      </c>
      <c r="AX515">
        <f t="shared" si="146"/>
        <v>0</v>
      </c>
      <c r="AY515">
        <f t="shared" ref="AY515:AY578" si="154">IF(AX515&lt;&gt;0,(AW515-AX515)*$BE$2/$BF$2*AA515,0)</f>
        <v>0</v>
      </c>
      <c r="AZ515">
        <f t="shared" si="143"/>
        <v>0</v>
      </c>
      <c r="BA515">
        <f t="shared" si="144"/>
        <v>0</v>
      </c>
      <c r="BB515">
        <f t="shared" ref="BB515:BB578" si="155">BA515+BB514</f>
        <v>8867861.29797591</v>
      </c>
      <c r="BC515">
        <f t="shared" si="147"/>
        <v>110848.266224699</v>
      </c>
      <c r="BD515">
        <f t="shared" si="148"/>
        <v>0.0125</v>
      </c>
      <c r="BG515">
        <f t="shared" ref="BG515:BG578" si="156">AY515+AO515</f>
        <v>0</v>
      </c>
      <c r="BH515">
        <f t="shared" ref="BH515:BH578" si="157">BG515+BH514</f>
        <v>7170079.31508434</v>
      </c>
      <c r="BI515">
        <f t="shared" si="149"/>
        <v>89625.9914385543</v>
      </c>
      <c r="BJ515">
        <f t="shared" si="150"/>
        <v>0.0125</v>
      </c>
    </row>
    <row r="516" spans="39:62">
      <c r="AM516">
        <v>62.675</v>
      </c>
      <c r="AN516">
        <f t="shared" si="151"/>
        <v>0</v>
      </c>
      <c r="AO516">
        <f t="shared" ref="AO516:AO579" si="158">IF(AN516&lt;&gt;0,(AM516-AN516)*$AU$2/$AV$2*L516,0)</f>
        <v>0</v>
      </c>
      <c r="AP516">
        <f t="shared" ref="AP516:AP579" si="159">(AM516-AM515)*$AU$2/$AV$2*Z515</f>
        <v>0</v>
      </c>
      <c r="AQ516">
        <f t="shared" si="145"/>
        <v>0</v>
      </c>
      <c r="AR516">
        <f t="shared" ref="AR516:AR579" si="160">AQ516+AR515</f>
        <v>7718359.29251081</v>
      </c>
      <c r="AS516">
        <f t="shared" si="152"/>
        <v>96479.4911563852</v>
      </c>
      <c r="AT516">
        <f t="shared" si="153"/>
        <v>0.0125</v>
      </c>
      <c r="AW516">
        <v>163.36</v>
      </c>
      <c r="AX516">
        <f t="shared" si="146"/>
        <v>0</v>
      </c>
      <c r="AY516">
        <f t="shared" si="154"/>
        <v>0</v>
      </c>
      <c r="AZ516">
        <f t="shared" ref="AZ516:AZ579" si="161">(AW516-AW515)*$BE$2/$BF$2*AC515</f>
        <v>0</v>
      </c>
      <c r="BA516">
        <f t="shared" ref="BA516:BA579" si="162">AY516+AZ516</f>
        <v>0</v>
      </c>
      <c r="BB516">
        <f t="shared" si="155"/>
        <v>8867861.29797591</v>
      </c>
      <c r="BC516">
        <f t="shared" si="147"/>
        <v>110848.266224699</v>
      </c>
      <c r="BD516">
        <f t="shared" si="148"/>
        <v>0.0125</v>
      </c>
      <c r="BG516">
        <f t="shared" si="156"/>
        <v>0</v>
      </c>
      <c r="BH516">
        <f t="shared" si="157"/>
        <v>7170079.31508434</v>
      </c>
      <c r="BI516">
        <f t="shared" si="149"/>
        <v>89625.9914385543</v>
      </c>
      <c r="BJ516">
        <f t="shared" si="150"/>
        <v>0.0125</v>
      </c>
    </row>
    <row r="517" spans="39:62">
      <c r="AM517">
        <v>62.49</v>
      </c>
      <c r="AN517">
        <f t="shared" si="151"/>
        <v>0</v>
      </c>
      <c r="AO517">
        <f t="shared" si="158"/>
        <v>0</v>
      </c>
      <c r="AP517">
        <f t="shared" si="159"/>
        <v>0</v>
      </c>
      <c r="AQ517">
        <f t="shared" ref="AQ517:AQ580" si="163">AO517+AP517</f>
        <v>0</v>
      </c>
      <c r="AR517">
        <f t="shared" si="160"/>
        <v>7718359.29251081</v>
      </c>
      <c r="AS517">
        <f t="shared" si="152"/>
        <v>96479.4911563852</v>
      </c>
      <c r="AT517">
        <f t="shared" si="153"/>
        <v>0.0125</v>
      </c>
      <c r="AW517">
        <v>163.36</v>
      </c>
      <c r="AX517">
        <f t="shared" si="146"/>
        <v>0</v>
      </c>
      <c r="AY517">
        <f t="shared" si="154"/>
        <v>0</v>
      </c>
      <c r="AZ517">
        <f t="shared" si="161"/>
        <v>0</v>
      </c>
      <c r="BA517">
        <f t="shared" si="162"/>
        <v>0</v>
      </c>
      <c r="BB517">
        <f t="shared" si="155"/>
        <v>8867861.29797591</v>
      </c>
      <c r="BC517">
        <f t="shared" si="147"/>
        <v>110848.266224699</v>
      </c>
      <c r="BD517">
        <f t="shared" si="148"/>
        <v>0.0125</v>
      </c>
      <c r="BG517">
        <f t="shared" si="156"/>
        <v>0</v>
      </c>
      <c r="BH517">
        <f t="shared" si="157"/>
        <v>7170079.31508434</v>
      </c>
      <c r="BI517">
        <f t="shared" si="149"/>
        <v>89625.9914385543</v>
      </c>
      <c r="BJ517">
        <f t="shared" si="150"/>
        <v>0.0125</v>
      </c>
    </row>
    <row r="518" spans="39:62">
      <c r="AM518">
        <v>62.49</v>
      </c>
      <c r="AN518">
        <f t="shared" si="151"/>
        <v>0</v>
      </c>
      <c r="AO518">
        <f t="shared" si="158"/>
        <v>0</v>
      </c>
      <c r="AP518">
        <f t="shared" si="159"/>
        <v>0</v>
      </c>
      <c r="AQ518">
        <f t="shared" si="163"/>
        <v>0</v>
      </c>
      <c r="AR518">
        <f t="shared" si="160"/>
        <v>7718359.29251081</v>
      </c>
      <c r="AS518">
        <f t="shared" si="152"/>
        <v>96479.4911563852</v>
      </c>
      <c r="AT518">
        <f t="shared" si="153"/>
        <v>0.0125</v>
      </c>
      <c r="AW518">
        <v>163.36</v>
      </c>
      <c r="AX518">
        <f t="shared" si="146"/>
        <v>0</v>
      </c>
      <c r="AY518">
        <f t="shared" si="154"/>
        <v>0</v>
      </c>
      <c r="AZ518">
        <f t="shared" si="161"/>
        <v>0</v>
      </c>
      <c r="BA518">
        <f t="shared" si="162"/>
        <v>0</v>
      </c>
      <c r="BB518">
        <f t="shared" si="155"/>
        <v>8867861.29797591</v>
      </c>
      <c r="BC518">
        <f t="shared" si="147"/>
        <v>110848.266224699</v>
      </c>
      <c r="BD518">
        <f t="shared" si="148"/>
        <v>0.0125</v>
      </c>
      <c r="BG518">
        <f t="shared" si="156"/>
        <v>0</v>
      </c>
      <c r="BH518">
        <f t="shared" si="157"/>
        <v>7170079.31508434</v>
      </c>
      <c r="BI518">
        <f t="shared" si="149"/>
        <v>89625.9914385543</v>
      </c>
      <c r="BJ518">
        <f t="shared" si="150"/>
        <v>0.0125</v>
      </c>
    </row>
    <row r="519" spans="39:62">
      <c r="AM519">
        <v>62.29</v>
      </c>
      <c r="AN519">
        <f t="shared" si="151"/>
        <v>0</v>
      </c>
      <c r="AO519">
        <f t="shared" si="158"/>
        <v>0</v>
      </c>
      <c r="AP519">
        <f t="shared" si="159"/>
        <v>0</v>
      </c>
      <c r="AQ519">
        <f t="shared" si="163"/>
        <v>0</v>
      </c>
      <c r="AR519">
        <f t="shared" si="160"/>
        <v>7718359.29251081</v>
      </c>
      <c r="AS519">
        <f t="shared" si="152"/>
        <v>96479.4911563852</v>
      </c>
      <c r="AT519">
        <f t="shared" si="153"/>
        <v>0.0125</v>
      </c>
      <c r="AW519">
        <v>163.36</v>
      </c>
      <c r="AX519">
        <f t="shared" si="146"/>
        <v>0</v>
      </c>
      <c r="AY519">
        <f t="shared" si="154"/>
        <v>0</v>
      </c>
      <c r="AZ519">
        <f t="shared" si="161"/>
        <v>0</v>
      </c>
      <c r="BA519">
        <f t="shared" si="162"/>
        <v>0</v>
      </c>
      <c r="BB519">
        <f t="shared" si="155"/>
        <v>8867861.29797591</v>
      </c>
      <c r="BC519">
        <f t="shared" si="147"/>
        <v>110848.266224699</v>
      </c>
      <c r="BD519">
        <f t="shared" si="148"/>
        <v>0.0125</v>
      </c>
      <c r="BG519">
        <f t="shared" si="156"/>
        <v>0</v>
      </c>
      <c r="BH519">
        <f t="shared" si="157"/>
        <v>7170079.31508434</v>
      </c>
      <c r="BI519">
        <f t="shared" si="149"/>
        <v>89625.9914385543</v>
      </c>
      <c r="BJ519">
        <f t="shared" si="150"/>
        <v>0.0125</v>
      </c>
    </row>
    <row r="520" spans="39:62">
      <c r="AM520">
        <v>62.225</v>
      </c>
      <c r="AN520">
        <f t="shared" si="151"/>
        <v>0</v>
      </c>
      <c r="AO520">
        <f t="shared" si="158"/>
        <v>0</v>
      </c>
      <c r="AP520">
        <f t="shared" si="159"/>
        <v>0</v>
      </c>
      <c r="AQ520">
        <f t="shared" si="163"/>
        <v>0</v>
      </c>
      <c r="AR520">
        <f t="shared" si="160"/>
        <v>7718359.29251081</v>
      </c>
      <c r="AS520">
        <f t="shared" si="152"/>
        <v>96479.4911563852</v>
      </c>
      <c r="AT520">
        <f t="shared" si="153"/>
        <v>0.0125</v>
      </c>
      <c r="AW520">
        <v>163.73</v>
      </c>
      <c r="AX520">
        <f t="shared" si="146"/>
        <v>0</v>
      </c>
      <c r="AY520">
        <f t="shared" si="154"/>
        <v>0</v>
      </c>
      <c r="AZ520">
        <f t="shared" si="161"/>
        <v>0</v>
      </c>
      <c r="BA520">
        <f t="shared" si="162"/>
        <v>0</v>
      </c>
      <c r="BB520">
        <f t="shared" si="155"/>
        <v>8867861.29797591</v>
      </c>
      <c r="BC520">
        <f t="shared" si="147"/>
        <v>110848.266224699</v>
      </c>
      <c r="BD520">
        <f t="shared" si="148"/>
        <v>0.0125</v>
      </c>
      <c r="BG520">
        <f t="shared" si="156"/>
        <v>0</v>
      </c>
      <c r="BH520">
        <f t="shared" si="157"/>
        <v>7170079.31508434</v>
      </c>
      <c r="BI520">
        <f t="shared" si="149"/>
        <v>89625.9914385543</v>
      </c>
      <c r="BJ520">
        <f t="shared" si="150"/>
        <v>0.0125</v>
      </c>
    </row>
    <row r="521" spans="39:62">
      <c r="AM521">
        <v>62.195</v>
      </c>
      <c r="AN521">
        <f t="shared" si="151"/>
        <v>0</v>
      </c>
      <c r="AO521">
        <f t="shared" si="158"/>
        <v>0</v>
      </c>
      <c r="AP521">
        <f t="shared" si="159"/>
        <v>0</v>
      </c>
      <c r="AQ521">
        <f t="shared" si="163"/>
        <v>0</v>
      </c>
      <c r="AR521">
        <f t="shared" si="160"/>
        <v>7718359.29251081</v>
      </c>
      <c r="AS521">
        <f t="shared" si="152"/>
        <v>96479.4911563852</v>
      </c>
      <c r="AT521">
        <f t="shared" si="153"/>
        <v>0.0125</v>
      </c>
      <c r="AW521">
        <v>163.54</v>
      </c>
      <c r="AX521">
        <f t="shared" si="146"/>
        <v>0</v>
      </c>
      <c r="AY521">
        <f t="shared" si="154"/>
        <v>0</v>
      </c>
      <c r="AZ521">
        <f t="shared" si="161"/>
        <v>0</v>
      </c>
      <c r="BA521">
        <f t="shared" si="162"/>
        <v>0</v>
      </c>
      <c r="BB521">
        <f t="shared" si="155"/>
        <v>8867861.29797591</v>
      </c>
      <c r="BC521">
        <f t="shared" si="147"/>
        <v>110848.266224699</v>
      </c>
      <c r="BD521">
        <f t="shared" si="148"/>
        <v>0.0125</v>
      </c>
      <c r="BG521">
        <f t="shared" si="156"/>
        <v>0</v>
      </c>
      <c r="BH521">
        <f t="shared" si="157"/>
        <v>7170079.31508434</v>
      </c>
      <c r="BI521">
        <f t="shared" si="149"/>
        <v>89625.9914385543</v>
      </c>
      <c r="BJ521">
        <f t="shared" si="150"/>
        <v>0.0125</v>
      </c>
    </row>
    <row r="522" spans="39:62">
      <c r="AM522">
        <v>62.245</v>
      </c>
      <c r="AN522">
        <f t="shared" si="151"/>
        <v>0</v>
      </c>
      <c r="AO522">
        <f t="shared" si="158"/>
        <v>0</v>
      </c>
      <c r="AP522">
        <f t="shared" si="159"/>
        <v>0</v>
      </c>
      <c r="AQ522">
        <f t="shared" si="163"/>
        <v>0</v>
      </c>
      <c r="AR522">
        <f t="shared" si="160"/>
        <v>7718359.29251081</v>
      </c>
      <c r="AS522">
        <f t="shared" si="152"/>
        <v>96479.4911563852</v>
      </c>
      <c r="AT522">
        <f t="shared" si="153"/>
        <v>0.0125</v>
      </c>
      <c r="AW522">
        <v>163.54</v>
      </c>
      <c r="AX522">
        <f t="shared" si="146"/>
        <v>0</v>
      </c>
      <c r="AY522">
        <f t="shared" si="154"/>
        <v>0</v>
      </c>
      <c r="AZ522">
        <f t="shared" si="161"/>
        <v>0</v>
      </c>
      <c r="BA522">
        <f t="shared" si="162"/>
        <v>0</v>
      </c>
      <c r="BB522">
        <f t="shared" si="155"/>
        <v>8867861.29797591</v>
      </c>
      <c r="BC522">
        <f t="shared" si="147"/>
        <v>110848.266224699</v>
      </c>
      <c r="BD522">
        <f t="shared" si="148"/>
        <v>0.0125</v>
      </c>
      <c r="BG522">
        <f t="shared" si="156"/>
        <v>0</v>
      </c>
      <c r="BH522">
        <f t="shared" si="157"/>
        <v>7170079.31508434</v>
      </c>
      <c r="BI522">
        <f t="shared" si="149"/>
        <v>89625.9914385543</v>
      </c>
      <c r="BJ522">
        <f t="shared" si="150"/>
        <v>0.0125</v>
      </c>
    </row>
    <row r="523" spans="39:62">
      <c r="AM523">
        <v>62.245</v>
      </c>
      <c r="AN523">
        <f t="shared" si="151"/>
        <v>0</v>
      </c>
      <c r="AO523">
        <f t="shared" si="158"/>
        <v>0</v>
      </c>
      <c r="AP523">
        <f t="shared" si="159"/>
        <v>0</v>
      </c>
      <c r="AQ523">
        <f t="shared" si="163"/>
        <v>0</v>
      </c>
      <c r="AR523">
        <f t="shared" si="160"/>
        <v>7718359.29251081</v>
      </c>
      <c r="AS523">
        <f t="shared" si="152"/>
        <v>96479.4911563852</v>
      </c>
      <c r="AT523">
        <f t="shared" si="153"/>
        <v>0.0125</v>
      </c>
      <c r="AW523">
        <v>163.54</v>
      </c>
      <c r="AX523">
        <f t="shared" si="146"/>
        <v>0</v>
      </c>
      <c r="AY523">
        <f t="shared" si="154"/>
        <v>0</v>
      </c>
      <c r="AZ523">
        <f t="shared" si="161"/>
        <v>0</v>
      </c>
      <c r="BA523">
        <f t="shared" si="162"/>
        <v>0</v>
      </c>
      <c r="BB523">
        <f t="shared" si="155"/>
        <v>8867861.29797591</v>
      </c>
      <c r="BC523">
        <f t="shared" si="147"/>
        <v>110848.266224699</v>
      </c>
      <c r="BD523">
        <f t="shared" si="148"/>
        <v>0.0125</v>
      </c>
      <c r="BG523">
        <f t="shared" si="156"/>
        <v>0</v>
      </c>
      <c r="BH523">
        <f t="shared" si="157"/>
        <v>7170079.31508434</v>
      </c>
      <c r="BI523">
        <f t="shared" si="149"/>
        <v>89625.9914385543</v>
      </c>
      <c r="BJ523">
        <f t="shared" si="150"/>
        <v>0.0125</v>
      </c>
    </row>
    <row r="524" spans="39:62">
      <c r="AM524">
        <v>61.9</v>
      </c>
      <c r="AN524">
        <f t="shared" si="151"/>
        <v>0</v>
      </c>
      <c r="AO524">
        <f t="shared" si="158"/>
        <v>0</v>
      </c>
      <c r="AP524">
        <f t="shared" si="159"/>
        <v>0</v>
      </c>
      <c r="AQ524">
        <f t="shared" si="163"/>
        <v>0</v>
      </c>
      <c r="AR524">
        <f t="shared" si="160"/>
        <v>7718359.29251081</v>
      </c>
      <c r="AS524">
        <f t="shared" si="152"/>
        <v>96479.4911563852</v>
      </c>
      <c r="AT524">
        <f t="shared" si="153"/>
        <v>0.0125</v>
      </c>
      <c r="AW524">
        <v>164.64</v>
      </c>
      <c r="AX524">
        <f t="shared" si="146"/>
        <v>0</v>
      </c>
      <c r="AY524">
        <f t="shared" si="154"/>
        <v>0</v>
      </c>
      <c r="AZ524">
        <f t="shared" si="161"/>
        <v>0</v>
      </c>
      <c r="BA524">
        <f t="shared" si="162"/>
        <v>0</v>
      </c>
      <c r="BB524">
        <f t="shared" si="155"/>
        <v>8867861.29797591</v>
      </c>
      <c r="BC524">
        <f t="shared" si="147"/>
        <v>110848.266224699</v>
      </c>
      <c r="BD524">
        <f t="shared" si="148"/>
        <v>0.0125</v>
      </c>
      <c r="BG524">
        <f t="shared" si="156"/>
        <v>0</v>
      </c>
      <c r="BH524">
        <f t="shared" si="157"/>
        <v>7170079.31508434</v>
      </c>
      <c r="BI524">
        <f t="shared" si="149"/>
        <v>89625.9914385543</v>
      </c>
      <c r="BJ524">
        <f t="shared" si="150"/>
        <v>0.0125</v>
      </c>
    </row>
    <row r="525" spans="39:62">
      <c r="AM525">
        <v>61.935</v>
      </c>
      <c r="AN525">
        <f t="shared" si="151"/>
        <v>0</v>
      </c>
      <c r="AO525">
        <f t="shared" si="158"/>
        <v>0</v>
      </c>
      <c r="AP525">
        <f t="shared" si="159"/>
        <v>0</v>
      </c>
      <c r="AQ525">
        <f t="shared" si="163"/>
        <v>0</v>
      </c>
      <c r="AR525">
        <f t="shared" si="160"/>
        <v>7718359.29251081</v>
      </c>
      <c r="AS525">
        <f t="shared" si="152"/>
        <v>96479.4911563852</v>
      </c>
      <c r="AT525">
        <f t="shared" si="153"/>
        <v>0.0125</v>
      </c>
      <c r="AW525">
        <v>164.82</v>
      </c>
      <c r="AX525">
        <f t="shared" si="146"/>
        <v>0</v>
      </c>
      <c r="AY525">
        <f t="shared" si="154"/>
        <v>0</v>
      </c>
      <c r="AZ525">
        <f t="shared" si="161"/>
        <v>0</v>
      </c>
      <c r="BA525">
        <f t="shared" si="162"/>
        <v>0</v>
      </c>
      <c r="BB525">
        <f t="shared" si="155"/>
        <v>8867861.29797591</v>
      </c>
      <c r="BC525">
        <f t="shared" si="147"/>
        <v>110848.266224699</v>
      </c>
      <c r="BD525">
        <f t="shared" si="148"/>
        <v>0.0125</v>
      </c>
      <c r="BG525">
        <f t="shared" si="156"/>
        <v>0</v>
      </c>
      <c r="BH525">
        <f t="shared" si="157"/>
        <v>7170079.31508434</v>
      </c>
      <c r="BI525">
        <f t="shared" si="149"/>
        <v>89625.9914385543</v>
      </c>
      <c r="BJ525">
        <f t="shared" si="150"/>
        <v>0.0125</v>
      </c>
    </row>
    <row r="526" spans="39:62">
      <c r="AM526">
        <v>62.17</v>
      </c>
      <c r="AN526">
        <f t="shared" si="151"/>
        <v>0</v>
      </c>
      <c r="AO526">
        <f t="shared" si="158"/>
        <v>0</v>
      </c>
      <c r="AP526">
        <f t="shared" si="159"/>
        <v>0</v>
      </c>
      <c r="AQ526">
        <f t="shared" si="163"/>
        <v>0</v>
      </c>
      <c r="AR526">
        <f t="shared" si="160"/>
        <v>7718359.29251081</v>
      </c>
      <c r="AS526">
        <f t="shared" si="152"/>
        <v>96479.4911563852</v>
      </c>
      <c r="AT526">
        <f t="shared" si="153"/>
        <v>0.0125</v>
      </c>
      <c r="AW526">
        <v>163.97</v>
      </c>
      <c r="AX526">
        <f t="shared" si="146"/>
        <v>0</v>
      </c>
      <c r="AY526">
        <f t="shared" si="154"/>
        <v>0</v>
      </c>
      <c r="AZ526">
        <f t="shared" si="161"/>
        <v>0</v>
      </c>
      <c r="BA526">
        <f t="shared" si="162"/>
        <v>0</v>
      </c>
      <c r="BB526">
        <f t="shared" si="155"/>
        <v>8867861.29797591</v>
      </c>
      <c r="BC526">
        <f t="shared" si="147"/>
        <v>110848.266224699</v>
      </c>
      <c r="BD526">
        <f t="shared" si="148"/>
        <v>0.0125</v>
      </c>
      <c r="BG526">
        <f t="shared" si="156"/>
        <v>0</v>
      </c>
      <c r="BH526">
        <f t="shared" si="157"/>
        <v>7170079.31508434</v>
      </c>
      <c r="BI526">
        <f t="shared" si="149"/>
        <v>89625.9914385543</v>
      </c>
      <c r="BJ526">
        <f t="shared" si="150"/>
        <v>0.0125</v>
      </c>
    </row>
    <row r="527" spans="39:62">
      <c r="AM527">
        <v>62.42</v>
      </c>
      <c r="AN527">
        <f t="shared" si="151"/>
        <v>0</v>
      </c>
      <c r="AO527">
        <f t="shared" si="158"/>
        <v>0</v>
      </c>
      <c r="AP527">
        <f t="shared" si="159"/>
        <v>0</v>
      </c>
      <c r="AQ527">
        <f t="shared" si="163"/>
        <v>0</v>
      </c>
      <c r="AR527">
        <f t="shared" si="160"/>
        <v>7718359.29251081</v>
      </c>
      <c r="AS527">
        <f t="shared" si="152"/>
        <v>96479.4911563852</v>
      </c>
      <c r="AT527">
        <f t="shared" si="153"/>
        <v>0.0125</v>
      </c>
      <c r="AW527">
        <v>163.96</v>
      </c>
      <c r="AX527">
        <f t="shared" si="146"/>
        <v>0</v>
      </c>
      <c r="AY527">
        <f t="shared" si="154"/>
        <v>0</v>
      </c>
      <c r="AZ527">
        <f t="shared" si="161"/>
        <v>0</v>
      </c>
      <c r="BA527">
        <f t="shared" si="162"/>
        <v>0</v>
      </c>
      <c r="BB527">
        <f t="shared" si="155"/>
        <v>8867861.29797591</v>
      </c>
      <c r="BC527">
        <f t="shared" si="147"/>
        <v>110848.266224699</v>
      </c>
      <c r="BD527">
        <f t="shared" si="148"/>
        <v>0.0125</v>
      </c>
      <c r="BG527">
        <f t="shared" si="156"/>
        <v>0</v>
      </c>
      <c r="BH527">
        <f t="shared" si="157"/>
        <v>7170079.31508434</v>
      </c>
      <c r="BI527">
        <f t="shared" si="149"/>
        <v>89625.9914385543</v>
      </c>
      <c r="BJ527">
        <f t="shared" si="150"/>
        <v>0.0125</v>
      </c>
    </row>
    <row r="528" spans="39:62">
      <c r="AM528">
        <v>62.4</v>
      </c>
      <c r="AN528">
        <f t="shared" si="151"/>
        <v>0</v>
      </c>
      <c r="AO528">
        <f t="shared" si="158"/>
        <v>0</v>
      </c>
      <c r="AP528">
        <f t="shared" si="159"/>
        <v>0</v>
      </c>
      <c r="AQ528">
        <f t="shared" si="163"/>
        <v>0</v>
      </c>
      <c r="AR528">
        <f t="shared" si="160"/>
        <v>7718359.29251081</v>
      </c>
      <c r="AS528">
        <f t="shared" si="152"/>
        <v>96479.4911563852</v>
      </c>
      <c r="AT528">
        <f t="shared" si="153"/>
        <v>0.0125</v>
      </c>
      <c r="AW528">
        <v>163.74</v>
      </c>
      <c r="AX528">
        <f t="shared" si="146"/>
        <v>0</v>
      </c>
      <c r="AY528">
        <f t="shared" si="154"/>
        <v>0</v>
      </c>
      <c r="AZ528">
        <f t="shared" si="161"/>
        <v>0</v>
      </c>
      <c r="BA528">
        <f t="shared" si="162"/>
        <v>0</v>
      </c>
      <c r="BB528">
        <f t="shared" si="155"/>
        <v>8867861.29797591</v>
      </c>
      <c r="BC528">
        <f t="shared" si="147"/>
        <v>110848.266224699</v>
      </c>
      <c r="BD528">
        <f t="shared" si="148"/>
        <v>0.0125</v>
      </c>
      <c r="BG528">
        <f t="shared" si="156"/>
        <v>0</v>
      </c>
      <c r="BH528">
        <f t="shared" si="157"/>
        <v>7170079.31508434</v>
      </c>
      <c r="BI528">
        <f t="shared" si="149"/>
        <v>89625.9914385543</v>
      </c>
      <c r="BJ528">
        <f t="shared" si="150"/>
        <v>0.0125</v>
      </c>
    </row>
    <row r="529" spans="39:62">
      <c r="AM529">
        <v>62.115</v>
      </c>
      <c r="AN529">
        <f t="shared" si="151"/>
        <v>0</v>
      </c>
      <c r="AO529">
        <f t="shared" si="158"/>
        <v>0</v>
      </c>
      <c r="AP529">
        <f t="shared" si="159"/>
        <v>0</v>
      </c>
      <c r="AQ529">
        <f t="shared" si="163"/>
        <v>0</v>
      </c>
      <c r="AR529">
        <f t="shared" si="160"/>
        <v>7718359.29251081</v>
      </c>
      <c r="AS529">
        <f t="shared" si="152"/>
        <v>96479.4911563852</v>
      </c>
      <c r="AT529">
        <f t="shared" si="153"/>
        <v>0.0125</v>
      </c>
      <c r="AW529">
        <v>163.96</v>
      </c>
      <c r="AX529">
        <f t="shared" si="146"/>
        <v>0</v>
      </c>
      <c r="AY529">
        <f t="shared" si="154"/>
        <v>0</v>
      </c>
      <c r="AZ529">
        <f t="shared" si="161"/>
        <v>0</v>
      </c>
      <c r="BA529">
        <f t="shared" si="162"/>
        <v>0</v>
      </c>
      <c r="BB529">
        <f t="shared" si="155"/>
        <v>8867861.29797591</v>
      </c>
      <c r="BC529">
        <f t="shared" si="147"/>
        <v>110848.266224699</v>
      </c>
      <c r="BD529">
        <f t="shared" si="148"/>
        <v>0.0125</v>
      </c>
      <c r="BG529">
        <f t="shared" si="156"/>
        <v>0</v>
      </c>
      <c r="BH529">
        <f t="shared" si="157"/>
        <v>7170079.31508434</v>
      </c>
      <c r="BI529">
        <f t="shared" si="149"/>
        <v>89625.9914385543</v>
      </c>
      <c r="BJ529">
        <f t="shared" si="150"/>
        <v>0.0125</v>
      </c>
    </row>
    <row r="530" spans="39:62">
      <c r="AM530">
        <v>61.985</v>
      </c>
      <c r="AN530">
        <f t="shared" si="151"/>
        <v>0</v>
      </c>
      <c r="AO530">
        <f t="shared" si="158"/>
        <v>0</v>
      </c>
      <c r="AP530">
        <f t="shared" si="159"/>
        <v>0</v>
      </c>
      <c r="AQ530">
        <f t="shared" si="163"/>
        <v>0</v>
      </c>
      <c r="AR530">
        <f t="shared" si="160"/>
        <v>7718359.29251081</v>
      </c>
      <c r="AS530">
        <f t="shared" si="152"/>
        <v>96479.4911563852</v>
      </c>
      <c r="AT530">
        <f t="shared" si="153"/>
        <v>0.0125</v>
      </c>
      <c r="AW530">
        <v>164.21</v>
      </c>
      <c r="AX530">
        <f t="shared" si="146"/>
        <v>0</v>
      </c>
      <c r="AY530">
        <f t="shared" si="154"/>
        <v>0</v>
      </c>
      <c r="AZ530">
        <f t="shared" si="161"/>
        <v>0</v>
      </c>
      <c r="BA530">
        <f t="shared" si="162"/>
        <v>0</v>
      </c>
      <c r="BB530">
        <f t="shared" si="155"/>
        <v>8867861.29797591</v>
      </c>
      <c r="BC530">
        <f t="shared" si="147"/>
        <v>110848.266224699</v>
      </c>
      <c r="BD530">
        <f t="shared" si="148"/>
        <v>0.0125</v>
      </c>
      <c r="BG530">
        <f t="shared" si="156"/>
        <v>0</v>
      </c>
      <c r="BH530">
        <f t="shared" si="157"/>
        <v>7170079.31508434</v>
      </c>
      <c r="BI530">
        <f t="shared" si="149"/>
        <v>89625.9914385543</v>
      </c>
      <c r="BJ530">
        <f t="shared" si="150"/>
        <v>0.0125</v>
      </c>
    </row>
    <row r="531" spans="39:62">
      <c r="AM531">
        <v>61.49</v>
      </c>
      <c r="AN531">
        <f t="shared" si="151"/>
        <v>0</v>
      </c>
      <c r="AO531">
        <f t="shared" si="158"/>
        <v>0</v>
      </c>
      <c r="AP531">
        <f t="shared" si="159"/>
        <v>0</v>
      </c>
      <c r="AQ531">
        <f t="shared" si="163"/>
        <v>0</v>
      </c>
      <c r="AR531">
        <f t="shared" si="160"/>
        <v>7718359.29251081</v>
      </c>
      <c r="AS531">
        <f t="shared" si="152"/>
        <v>96479.4911563852</v>
      </c>
      <c r="AT531">
        <f t="shared" si="153"/>
        <v>0.0125</v>
      </c>
      <c r="AW531">
        <v>164.41</v>
      </c>
      <c r="AX531">
        <f t="shared" si="146"/>
        <v>0</v>
      </c>
      <c r="AY531">
        <f t="shared" si="154"/>
        <v>0</v>
      </c>
      <c r="AZ531">
        <f t="shared" si="161"/>
        <v>0</v>
      </c>
      <c r="BA531">
        <f t="shared" si="162"/>
        <v>0</v>
      </c>
      <c r="BB531">
        <f t="shared" si="155"/>
        <v>8867861.29797591</v>
      </c>
      <c r="BC531">
        <f t="shared" si="147"/>
        <v>110848.266224699</v>
      </c>
      <c r="BD531">
        <f t="shared" si="148"/>
        <v>0.0125</v>
      </c>
      <c r="BG531">
        <f t="shared" si="156"/>
        <v>0</v>
      </c>
      <c r="BH531">
        <f t="shared" si="157"/>
        <v>7170079.31508434</v>
      </c>
      <c r="BI531">
        <f t="shared" si="149"/>
        <v>89625.9914385543</v>
      </c>
      <c r="BJ531">
        <f t="shared" si="150"/>
        <v>0.0125</v>
      </c>
    </row>
    <row r="532" spans="39:62">
      <c r="AM532">
        <v>61.56</v>
      </c>
      <c r="AN532">
        <f t="shared" si="151"/>
        <v>0</v>
      </c>
      <c r="AO532">
        <f t="shared" si="158"/>
        <v>0</v>
      </c>
      <c r="AP532">
        <f t="shared" si="159"/>
        <v>0</v>
      </c>
      <c r="AQ532">
        <f t="shared" si="163"/>
        <v>0</v>
      </c>
      <c r="AR532">
        <f t="shared" si="160"/>
        <v>7718359.29251081</v>
      </c>
      <c r="AS532">
        <f t="shared" si="152"/>
        <v>96479.4911563852</v>
      </c>
      <c r="AT532">
        <f t="shared" si="153"/>
        <v>0.0125</v>
      </c>
      <c r="AW532">
        <v>164.57</v>
      </c>
      <c r="AX532">
        <f t="shared" si="146"/>
        <v>0</v>
      </c>
      <c r="AY532">
        <f t="shared" si="154"/>
        <v>0</v>
      </c>
      <c r="AZ532">
        <f t="shared" si="161"/>
        <v>0</v>
      </c>
      <c r="BA532">
        <f t="shared" si="162"/>
        <v>0</v>
      </c>
      <c r="BB532">
        <f t="shared" si="155"/>
        <v>8867861.29797591</v>
      </c>
      <c r="BC532">
        <f t="shared" si="147"/>
        <v>110848.266224699</v>
      </c>
      <c r="BD532">
        <f t="shared" si="148"/>
        <v>0.0125</v>
      </c>
      <c r="BG532">
        <f t="shared" si="156"/>
        <v>0</v>
      </c>
      <c r="BH532">
        <f t="shared" si="157"/>
        <v>7170079.31508434</v>
      </c>
      <c r="BI532">
        <f t="shared" si="149"/>
        <v>89625.9914385543</v>
      </c>
      <c r="BJ532">
        <f t="shared" si="150"/>
        <v>0.0125</v>
      </c>
    </row>
    <row r="533" spans="39:62">
      <c r="AM533">
        <v>61.87</v>
      </c>
      <c r="AN533">
        <f t="shared" si="151"/>
        <v>0</v>
      </c>
      <c r="AO533">
        <f t="shared" si="158"/>
        <v>0</v>
      </c>
      <c r="AP533">
        <f t="shared" si="159"/>
        <v>0</v>
      </c>
      <c r="AQ533">
        <f t="shared" si="163"/>
        <v>0</v>
      </c>
      <c r="AR533">
        <f t="shared" si="160"/>
        <v>7718359.29251081</v>
      </c>
      <c r="AS533">
        <f t="shared" si="152"/>
        <v>96479.4911563852</v>
      </c>
      <c r="AT533">
        <f t="shared" si="153"/>
        <v>0.0125</v>
      </c>
      <c r="AW533">
        <v>164.89</v>
      </c>
      <c r="AX533">
        <f t="shared" si="146"/>
        <v>0</v>
      </c>
      <c r="AY533">
        <f t="shared" si="154"/>
        <v>0</v>
      </c>
      <c r="AZ533">
        <f t="shared" si="161"/>
        <v>0</v>
      </c>
      <c r="BA533">
        <f t="shared" si="162"/>
        <v>0</v>
      </c>
      <c r="BB533">
        <f t="shared" si="155"/>
        <v>8867861.29797591</v>
      </c>
      <c r="BC533">
        <f t="shared" si="147"/>
        <v>110848.266224699</v>
      </c>
      <c r="BD533">
        <f t="shared" si="148"/>
        <v>0.0125</v>
      </c>
      <c r="BG533">
        <f t="shared" si="156"/>
        <v>0</v>
      </c>
      <c r="BH533">
        <f t="shared" si="157"/>
        <v>7170079.31508434</v>
      </c>
      <c r="BI533">
        <f t="shared" si="149"/>
        <v>89625.9914385543</v>
      </c>
      <c r="BJ533">
        <f t="shared" si="150"/>
        <v>0.0125</v>
      </c>
    </row>
    <row r="534" spans="39:62">
      <c r="AM534">
        <v>62.295</v>
      </c>
      <c r="AN534">
        <f t="shared" si="151"/>
        <v>0</v>
      </c>
      <c r="AO534">
        <f t="shared" si="158"/>
        <v>0</v>
      </c>
      <c r="AP534">
        <f t="shared" si="159"/>
        <v>0</v>
      </c>
      <c r="AQ534">
        <f t="shared" si="163"/>
        <v>0</v>
      </c>
      <c r="AR534">
        <f t="shared" si="160"/>
        <v>7718359.29251081</v>
      </c>
      <c r="AS534">
        <f t="shared" si="152"/>
        <v>96479.4911563852</v>
      </c>
      <c r="AT534">
        <f t="shared" si="153"/>
        <v>0.0125</v>
      </c>
      <c r="AW534">
        <v>164.59</v>
      </c>
      <c r="AX534">
        <f t="shared" si="146"/>
        <v>0</v>
      </c>
      <c r="AY534">
        <f t="shared" si="154"/>
        <v>0</v>
      </c>
      <c r="AZ534">
        <f t="shared" si="161"/>
        <v>0</v>
      </c>
      <c r="BA534">
        <f t="shared" si="162"/>
        <v>0</v>
      </c>
      <c r="BB534">
        <f t="shared" si="155"/>
        <v>8867861.29797591</v>
      </c>
      <c r="BC534">
        <f t="shared" si="147"/>
        <v>110848.266224699</v>
      </c>
      <c r="BD534">
        <f t="shared" si="148"/>
        <v>0.0125</v>
      </c>
      <c r="BG534">
        <f t="shared" si="156"/>
        <v>0</v>
      </c>
      <c r="BH534">
        <f t="shared" si="157"/>
        <v>7170079.31508434</v>
      </c>
      <c r="BI534">
        <f t="shared" si="149"/>
        <v>89625.9914385543</v>
      </c>
      <c r="BJ534">
        <f t="shared" si="150"/>
        <v>0.0125</v>
      </c>
    </row>
    <row r="535" spans="39:62">
      <c r="AM535">
        <v>62.13</v>
      </c>
      <c r="AN535">
        <f t="shared" si="151"/>
        <v>0</v>
      </c>
      <c r="AO535">
        <f t="shared" si="158"/>
        <v>0</v>
      </c>
      <c r="AP535">
        <f t="shared" si="159"/>
        <v>0</v>
      </c>
      <c r="AQ535">
        <f t="shared" si="163"/>
        <v>0</v>
      </c>
      <c r="AR535">
        <f t="shared" si="160"/>
        <v>7718359.29251081</v>
      </c>
      <c r="AS535">
        <f t="shared" si="152"/>
        <v>96479.4911563852</v>
      </c>
      <c r="AT535">
        <f t="shared" si="153"/>
        <v>0.0125</v>
      </c>
      <c r="AW535">
        <v>164.3</v>
      </c>
      <c r="AX535">
        <f t="shared" si="146"/>
        <v>0</v>
      </c>
      <c r="AY535">
        <f t="shared" si="154"/>
        <v>0</v>
      </c>
      <c r="AZ535">
        <f t="shared" si="161"/>
        <v>0</v>
      </c>
      <c r="BA535">
        <f t="shared" si="162"/>
        <v>0</v>
      </c>
      <c r="BB535">
        <f t="shared" si="155"/>
        <v>8867861.29797591</v>
      </c>
      <c r="BC535">
        <f t="shared" si="147"/>
        <v>110848.266224699</v>
      </c>
      <c r="BD535">
        <f t="shared" si="148"/>
        <v>0.0125</v>
      </c>
      <c r="BG535">
        <f t="shared" si="156"/>
        <v>0</v>
      </c>
      <c r="BH535">
        <f t="shared" si="157"/>
        <v>7170079.31508434</v>
      </c>
      <c r="BI535">
        <f t="shared" si="149"/>
        <v>89625.9914385543</v>
      </c>
      <c r="BJ535">
        <f t="shared" si="150"/>
        <v>0.0125</v>
      </c>
    </row>
    <row r="536" spans="39:62">
      <c r="AM536">
        <v>62.13</v>
      </c>
      <c r="AN536">
        <f t="shared" si="151"/>
        <v>0</v>
      </c>
      <c r="AO536">
        <f t="shared" si="158"/>
        <v>0</v>
      </c>
      <c r="AP536">
        <f t="shared" si="159"/>
        <v>0</v>
      </c>
      <c r="AQ536">
        <f t="shared" si="163"/>
        <v>0</v>
      </c>
      <c r="AR536">
        <f t="shared" si="160"/>
        <v>7718359.29251081</v>
      </c>
      <c r="AS536">
        <f t="shared" si="152"/>
        <v>96479.4911563852</v>
      </c>
      <c r="AT536">
        <f t="shared" si="153"/>
        <v>0.0125</v>
      </c>
      <c r="AW536">
        <v>164.07</v>
      </c>
      <c r="AX536">
        <f t="shared" si="146"/>
        <v>0</v>
      </c>
      <c r="AY536">
        <f t="shared" si="154"/>
        <v>0</v>
      </c>
      <c r="AZ536">
        <f t="shared" si="161"/>
        <v>0</v>
      </c>
      <c r="BA536">
        <f t="shared" si="162"/>
        <v>0</v>
      </c>
      <c r="BB536">
        <f t="shared" si="155"/>
        <v>8867861.29797591</v>
      </c>
      <c r="BC536">
        <f t="shared" si="147"/>
        <v>110848.266224699</v>
      </c>
      <c r="BD536">
        <f t="shared" si="148"/>
        <v>0.0125</v>
      </c>
      <c r="BG536">
        <f t="shared" si="156"/>
        <v>0</v>
      </c>
      <c r="BH536">
        <f t="shared" si="157"/>
        <v>7170079.31508434</v>
      </c>
      <c r="BI536">
        <f t="shared" si="149"/>
        <v>89625.9914385543</v>
      </c>
      <c r="BJ536">
        <f t="shared" si="150"/>
        <v>0.0125</v>
      </c>
    </row>
    <row r="537" spans="39:62">
      <c r="AM537">
        <v>62</v>
      </c>
      <c r="AN537">
        <f t="shared" si="151"/>
        <v>0</v>
      </c>
      <c r="AO537">
        <f t="shared" si="158"/>
        <v>0</v>
      </c>
      <c r="AP537">
        <f t="shared" si="159"/>
        <v>0</v>
      </c>
      <c r="AQ537">
        <f t="shared" si="163"/>
        <v>0</v>
      </c>
      <c r="AR537">
        <f t="shared" si="160"/>
        <v>7718359.29251081</v>
      </c>
      <c r="AS537">
        <f t="shared" si="152"/>
        <v>96479.4911563852</v>
      </c>
      <c r="AT537">
        <f t="shared" si="153"/>
        <v>0.0125</v>
      </c>
      <c r="AW537">
        <v>164.13</v>
      </c>
      <c r="AX537">
        <f t="shared" si="146"/>
        <v>0</v>
      </c>
      <c r="AY537">
        <f t="shared" si="154"/>
        <v>0</v>
      </c>
      <c r="AZ537">
        <f t="shared" si="161"/>
        <v>0</v>
      </c>
      <c r="BA537">
        <f t="shared" si="162"/>
        <v>0</v>
      </c>
      <c r="BB537">
        <f t="shared" si="155"/>
        <v>8867861.29797591</v>
      </c>
      <c r="BC537">
        <f t="shared" si="147"/>
        <v>110848.266224699</v>
      </c>
      <c r="BD537">
        <f t="shared" si="148"/>
        <v>0.0125</v>
      </c>
      <c r="BG537">
        <f t="shared" si="156"/>
        <v>0</v>
      </c>
      <c r="BH537">
        <f t="shared" si="157"/>
        <v>7170079.31508434</v>
      </c>
      <c r="BI537">
        <f t="shared" si="149"/>
        <v>89625.9914385543</v>
      </c>
      <c r="BJ537">
        <f t="shared" si="150"/>
        <v>0.0125</v>
      </c>
    </row>
    <row r="538" spans="39:62">
      <c r="AM538">
        <v>62.67</v>
      </c>
      <c r="AN538">
        <f t="shared" si="151"/>
        <v>0</v>
      </c>
      <c r="AO538">
        <f t="shared" si="158"/>
        <v>0</v>
      </c>
      <c r="AP538">
        <f t="shared" si="159"/>
        <v>0</v>
      </c>
      <c r="AQ538">
        <f t="shared" si="163"/>
        <v>0</v>
      </c>
      <c r="AR538">
        <f t="shared" si="160"/>
        <v>7718359.29251081</v>
      </c>
      <c r="AS538">
        <f t="shared" si="152"/>
        <v>96479.4911563852</v>
      </c>
      <c r="AT538">
        <f t="shared" si="153"/>
        <v>0.0125</v>
      </c>
      <c r="AW538">
        <v>164.47</v>
      </c>
      <c r="AX538">
        <f t="shared" si="146"/>
        <v>0</v>
      </c>
      <c r="AY538">
        <f t="shared" si="154"/>
        <v>0</v>
      </c>
      <c r="AZ538">
        <f t="shared" si="161"/>
        <v>0</v>
      </c>
      <c r="BA538">
        <f t="shared" si="162"/>
        <v>0</v>
      </c>
      <c r="BB538">
        <f t="shared" si="155"/>
        <v>8867861.29797591</v>
      </c>
      <c r="BC538">
        <f t="shared" si="147"/>
        <v>110848.266224699</v>
      </c>
      <c r="BD538">
        <f t="shared" si="148"/>
        <v>0.0125</v>
      </c>
      <c r="BG538">
        <f t="shared" si="156"/>
        <v>0</v>
      </c>
      <c r="BH538">
        <f t="shared" si="157"/>
        <v>7170079.31508434</v>
      </c>
      <c r="BI538">
        <f t="shared" si="149"/>
        <v>89625.9914385543</v>
      </c>
      <c r="BJ538">
        <f t="shared" si="150"/>
        <v>0.0125</v>
      </c>
    </row>
    <row r="539" spans="39:62">
      <c r="AM539">
        <v>62.795</v>
      </c>
      <c r="AN539">
        <f t="shared" si="151"/>
        <v>0</v>
      </c>
      <c r="AO539">
        <f t="shared" si="158"/>
        <v>0</v>
      </c>
      <c r="AP539">
        <f t="shared" si="159"/>
        <v>0</v>
      </c>
      <c r="AQ539">
        <f t="shared" si="163"/>
        <v>0</v>
      </c>
      <c r="AR539">
        <f t="shared" si="160"/>
        <v>7718359.29251081</v>
      </c>
      <c r="AS539">
        <f t="shared" si="152"/>
        <v>96479.4911563852</v>
      </c>
      <c r="AT539">
        <f t="shared" si="153"/>
        <v>0.0125</v>
      </c>
      <c r="AW539">
        <v>164.57</v>
      </c>
      <c r="AX539">
        <f t="shared" si="146"/>
        <v>0</v>
      </c>
      <c r="AY539">
        <f t="shared" si="154"/>
        <v>0</v>
      </c>
      <c r="AZ539">
        <f t="shared" si="161"/>
        <v>0</v>
      </c>
      <c r="BA539">
        <f t="shared" si="162"/>
        <v>0</v>
      </c>
      <c r="BB539">
        <f t="shared" si="155"/>
        <v>8867861.29797591</v>
      </c>
      <c r="BC539">
        <f t="shared" si="147"/>
        <v>110848.266224699</v>
      </c>
      <c r="BD539">
        <f t="shared" si="148"/>
        <v>0.0125</v>
      </c>
      <c r="BG539">
        <f t="shared" si="156"/>
        <v>0</v>
      </c>
      <c r="BH539">
        <f t="shared" si="157"/>
        <v>7170079.31508434</v>
      </c>
      <c r="BI539">
        <f t="shared" si="149"/>
        <v>89625.9914385543</v>
      </c>
      <c r="BJ539">
        <f t="shared" si="150"/>
        <v>0.0125</v>
      </c>
    </row>
    <row r="540" spans="39:62">
      <c r="AM540">
        <v>62.895</v>
      </c>
      <c r="AN540">
        <f t="shared" si="151"/>
        <v>0</v>
      </c>
      <c r="AO540">
        <f t="shared" si="158"/>
        <v>0</v>
      </c>
      <c r="AP540">
        <f t="shared" si="159"/>
        <v>0</v>
      </c>
      <c r="AQ540">
        <f t="shared" si="163"/>
        <v>0</v>
      </c>
      <c r="AR540">
        <f t="shared" si="160"/>
        <v>7718359.29251081</v>
      </c>
      <c r="AS540">
        <f t="shared" si="152"/>
        <v>96479.4911563852</v>
      </c>
      <c r="AT540">
        <f t="shared" si="153"/>
        <v>0.0125</v>
      </c>
      <c r="AW540">
        <v>165.32</v>
      </c>
      <c r="AX540">
        <f t="shared" si="146"/>
        <v>0</v>
      </c>
      <c r="AY540">
        <f t="shared" si="154"/>
        <v>0</v>
      </c>
      <c r="AZ540">
        <f t="shared" si="161"/>
        <v>0</v>
      </c>
      <c r="BA540">
        <f t="shared" si="162"/>
        <v>0</v>
      </c>
      <c r="BB540">
        <f t="shared" si="155"/>
        <v>8867861.29797591</v>
      </c>
      <c r="BC540">
        <f t="shared" si="147"/>
        <v>110848.266224699</v>
      </c>
      <c r="BD540">
        <f t="shared" si="148"/>
        <v>0.0125</v>
      </c>
      <c r="BG540">
        <f t="shared" si="156"/>
        <v>0</v>
      </c>
      <c r="BH540">
        <f t="shared" si="157"/>
        <v>7170079.31508434</v>
      </c>
      <c r="BI540">
        <f t="shared" si="149"/>
        <v>89625.9914385543</v>
      </c>
      <c r="BJ540">
        <f t="shared" si="150"/>
        <v>0.0125</v>
      </c>
    </row>
    <row r="541" spans="39:62">
      <c r="AM541">
        <v>63.145</v>
      </c>
      <c r="AN541">
        <f t="shared" si="151"/>
        <v>0</v>
      </c>
      <c r="AO541">
        <f t="shared" si="158"/>
        <v>0</v>
      </c>
      <c r="AP541">
        <f t="shared" si="159"/>
        <v>0</v>
      </c>
      <c r="AQ541">
        <f t="shared" si="163"/>
        <v>0</v>
      </c>
      <c r="AR541">
        <f t="shared" si="160"/>
        <v>7718359.29251081</v>
      </c>
      <c r="AS541">
        <f t="shared" si="152"/>
        <v>96479.4911563852</v>
      </c>
      <c r="AT541">
        <f t="shared" si="153"/>
        <v>0.0125</v>
      </c>
      <c r="AW541">
        <v>165.07</v>
      </c>
      <c r="AX541">
        <f t="shared" si="146"/>
        <v>0</v>
      </c>
      <c r="AY541">
        <f t="shared" si="154"/>
        <v>0</v>
      </c>
      <c r="AZ541">
        <f t="shared" si="161"/>
        <v>0</v>
      </c>
      <c r="BA541">
        <f t="shared" si="162"/>
        <v>0</v>
      </c>
      <c r="BB541">
        <f t="shared" si="155"/>
        <v>8867861.29797591</v>
      </c>
      <c r="BC541">
        <f t="shared" si="147"/>
        <v>110848.266224699</v>
      </c>
      <c r="BD541">
        <f t="shared" si="148"/>
        <v>0.0125</v>
      </c>
      <c r="BG541">
        <f t="shared" si="156"/>
        <v>0</v>
      </c>
      <c r="BH541">
        <f t="shared" si="157"/>
        <v>7170079.31508434</v>
      </c>
      <c r="BI541">
        <f t="shared" si="149"/>
        <v>89625.9914385543</v>
      </c>
      <c r="BJ541">
        <f t="shared" si="150"/>
        <v>0.0125</v>
      </c>
    </row>
    <row r="542" spans="39:62">
      <c r="AM542">
        <v>62.85</v>
      </c>
      <c r="AN542">
        <f t="shared" si="151"/>
        <v>0</v>
      </c>
      <c r="AO542">
        <f t="shared" si="158"/>
        <v>0</v>
      </c>
      <c r="AP542">
        <f t="shared" si="159"/>
        <v>0</v>
      </c>
      <c r="AQ542">
        <f t="shared" si="163"/>
        <v>0</v>
      </c>
      <c r="AR542">
        <f t="shared" si="160"/>
        <v>7718359.29251081</v>
      </c>
      <c r="AS542">
        <f t="shared" si="152"/>
        <v>96479.4911563852</v>
      </c>
      <c r="AT542">
        <f t="shared" si="153"/>
        <v>0.0125</v>
      </c>
      <c r="AW542">
        <v>164.91</v>
      </c>
      <c r="AX542">
        <f t="shared" si="146"/>
        <v>0</v>
      </c>
      <c r="AY542">
        <f t="shared" si="154"/>
        <v>0</v>
      </c>
      <c r="AZ542">
        <f t="shared" si="161"/>
        <v>0</v>
      </c>
      <c r="BA542">
        <f t="shared" si="162"/>
        <v>0</v>
      </c>
      <c r="BB542">
        <f t="shared" si="155"/>
        <v>8867861.29797591</v>
      </c>
      <c r="BC542">
        <f t="shared" si="147"/>
        <v>110848.266224699</v>
      </c>
      <c r="BD542">
        <f t="shared" si="148"/>
        <v>0.0125</v>
      </c>
      <c r="BG542">
        <f t="shared" si="156"/>
        <v>0</v>
      </c>
      <c r="BH542">
        <f t="shared" si="157"/>
        <v>7170079.31508434</v>
      </c>
      <c r="BI542">
        <f t="shared" si="149"/>
        <v>89625.9914385543</v>
      </c>
      <c r="BJ542">
        <f t="shared" si="150"/>
        <v>0.0125</v>
      </c>
    </row>
    <row r="543" spans="39:62">
      <c r="AM543">
        <v>62.555</v>
      </c>
      <c r="AN543">
        <f t="shared" si="151"/>
        <v>0</v>
      </c>
      <c r="AO543">
        <f t="shared" si="158"/>
        <v>0</v>
      </c>
      <c r="AP543">
        <f t="shared" si="159"/>
        <v>0</v>
      </c>
      <c r="AQ543">
        <f t="shared" si="163"/>
        <v>0</v>
      </c>
      <c r="AR543">
        <f t="shared" si="160"/>
        <v>7718359.29251081</v>
      </c>
      <c r="AS543">
        <f t="shared" si="152"/>
        <v>96479.4911563852</v>
      </c>
      <c r="AT543">
        <f t="shared" si="153"/>
        <v>0.0125</v>
      </c>
      <c r="AW543">
        <v>165.08</v>
      </c>
      <c r="AX543">
        <f t="shared" si="146"/>
        <v>0</v>
      </c>
      <c r="AY543">
        <f t="shared" si="154"/>
        <v>0</v>
      </c>
      <c r="AZ543">
        <f t="shared" si="161"/>
        <v>0</v>
      </c>
      <c r="BA543">
        <f t="shared" si="162"/>
        <v>0</v>
      </c>
      <c r="BB543">
        <f t="shared" si="155"/>
        <v>8867861.29797591</v>
      </c>
      <c r="BC543">
        <f t="shared" si="147"/>
        <v>110848.266224699</v>
      </c>
      <c r="BD543">
        <f t="shared" si="148"/>
        <v>0.0125</v>
      </c>
      <c r="BG543">
        <f t="shared" si="156"/>
        <v>0</v>
      </c>
      <c r="BH543">
        <f t="shared" si="157"/>
        <v>7170079.31508434</v>
      </c>
      <c r="BI543">
        <f t="shared" si="149"/>
        <v>89625.9914385543</v>
      </c>
      <c r="BJ543">
        <f t="shared" si="150"/>
        <v>0.0125</v>
      </c>
    </row>
    <row r="544" spans="39:62">
      <c r="AM544">
        <v>62.325</v>
      </c>
      <c r="AN544">
        <f t="shared" si="151"/>
        <v>0</v>
      </c>
      <c r="AO544">
        <f t="shared" si="158"/>
        <v>0</v>
      </c>
      <c r="AP544">
        <f t="shared" si="159"/>
        <v>0</v>
      </c>
      <c r="AQ544">
        <f t="shared" si="163"/>
        <v>0</v>
      </c>
      <c r="AR544">
        <f t="shared" si="160"/>
        <v>7718359.29251081</v>
      </c>
      <c r="AS544">
        <f t="shared" si="152"/>
        <v>96479.4911563852</v>
      </c>
      <c r="AT544">
        <f t="shared" si="153"/>
        <v>0.0125</v>
      </c>
      <c r="AW544">
        <v>165.18</v>
      </c>
      <c r="AX544">
        <f t="shared" si="146"/>
        <v>0</v>
      </c>
      <c r="AY544">
        <f t="shared" si="154"/>
        <v>0</v>
      </c>
      <c r="AZ544">
        <f t="shared" si="161"/>
        <v>0</v>
      </c>
      <c r="BA544">
        <f t="shared" si="162"/>
        <v>0</v>
      </c>
      <c r="BB544">
        <f t="shared" si="155"/>
        <v>8867861.29797591</v>
      </c>
      <c r="BC544">
        <f t="shared" si="147"/>
        <v>110848.266224699</v>
      </c>
      <c r="BD544">
        <f t="shared" si="148"/>
        <v>0.0125</v>
      </c>
      <c r="BG544">
        <f t="shared" si="156"/>
        <v>0</v>
      </c>
      <c r="BH544">
        <f t="shared" si="157"/>
        <v>7170079.31508434</v>
      </c>
      <c r="BI544">
        <f t="shared" si="149"/>
        <v>89625.9914385543</v>
      </c>
      <c r="BJ544">
        <f t="shared" si="150"/>
        <v>0.0125</v>
      </c>
    </row>
    <row r="545" spans="39:62">
      <c r="AM545">
        <v>62.39</v>
      </c>
      <c r="AN545">
        <f t="shared" si="151"/>
        <v>0</v>
      </c>
      <c r="AO545">
        <f t="shared" si="158"/>
        <v>0</v>
      </c>
      <c r="AP545">
        <f t="shared" si="159"/>
        <v>0</v>
      </c>
      <c r="AQ545">
        <f t="shared" si="163"/>
        <v>0</v>
      </c>
      <c r="AR545">
        <f t="shared" si="160"/>
        <v>7718359.29251081</v>
      </c>
      <c r="AS545">
        <f t="shared" si="152"/>
        <v>96479.4911563852</v>
      </c>
      <c r="AT545">
        <f t="shared" si="153"/>
        <v>0.0125</v>
      </c>
      <c r="AW545">
        <v>165.67</v>
      </c>
      <c r="AX545">
        <f t="shared" si="146"/>
        <v>0</v>
      </c>
      <c r="AY545">
        <f t="shared" si="154"/>
        <v>0</v>
      </c>
      <c r="AZ545">
        <f t="shared" si="161"/>
        <v>0</v>
      </c>
      <c r="BA545">
        <f t="shared" si="162"/>
        <v>0</v>
      </c>
      <c r="BB545">
        <f t="shared" si="155"/>
        <v>8867861.29797591</v>
      </c>
      <c r="BC545">
        <f t="shared" si="147"/>
        <v>110848.266224699</v>
      </c>
      <c r="BD545">
        <f t="shared" si="148"/>
        <v>0.0125</v>
      </c>
      <c r="BG545">
        <f t="shared" si="156"/>
        <v>0</v>
      </c>
      <c r="BH545">
        <f t="shared" si="157"/>
        <v>7170079.31508434</v>
      </c>
      <c r="BI545">
        <f t="shared" si="149"/>
        <v>89625.9914385543</v>
      </c>
      <c r="BJ545">
        <f t="shared" si="150"/>
        <v>0.0125</v>
      </c>
    </row>
    <row r="546" spans="39:62">
      <c r="AM546">
        <v>62.165</v>
      </c>
      <c r="AN546">
        <f t="shared" si="151"/>
        <v>0</v>
      </c>
      <c r="AO546">
        <f t="shared" si="158"/>
        <v>0</v>
      </c>
      <c r="AP546">
        <f t="shared" si="159"/>
        <v>0</v>
      </c>
      <c r="AQ546">
        <f t="shared" si="163"/>
        <v>0</v>
      </c>
      <c r="AR546">
        <f t="shared" si="160"/>
        <v>7718359.29251081</v>
      </c>
      <c r="AS546">
        <f t="shared" si="152"/>
        <v>96479.4911563852</v>
      </c>
      <c r="AT546">
        <f t="shared" si="153"/>
        <v>0.0125</v>
      </c>
      <c r="AW546">
        <v>165.5</v>
      </c>
      <c r="AX546">
        <f t="shared" si="146"/>
        <v>0</v>
      </c>
      <c r="AY546">
        <f t="shared" si="154"/>
        <v>0</v>
      </c>
      <c r="AZ546">
        <f t="shared" si="161"/>
        <v>0</v>
      </c>
      <c r="BA546">
        <f t="shared" si="162"/>
        <v>0</v>
      </c>
      <c r="BB546">
        <f t="shared" si="155"/>
        <v>8867861.29797591</v>
      </c>
      <c r="BC546">
        <f t="shared" si="147"/>
        <v>110848.266224699</v>
      </c>
      <c r="BD546">
        <f t="shared" si="148"/>
        <v>0.0125</v>
      </c>
      <c r="BG546">
        <f t="shared" si="156"/>
        <v>0</v>
      </c>
      <c r="BH546">
        <f t="shared" si="157"/>
        <v>7170079.31508434</v>
      </c>
      <c r="BI546">
        <f t="shared" si="149"/>
        <v>89625.9914385543</v>
      </c>
      <c r="BJ546">
        <f t="shared" si="150"/>
        <v>0.0125</v>
      </c>
    </row>
    <row r="547" spans="39:62">
      <c r="AM547">
        <v>61.84</v>
      </c>
      <c r="AN547">
        <f t="shared" si="151"/>
        <v>0</v>
      </c>
      <c r="AO547">
        <f t="shared" si="158"/>
        <v>0</v>
      </c>
      <c r="AP547">
        <f t="shared" si="159"/>
        <v>0</v>
      </c>
      <c r="AQ547">
        <f t="shared" si="163"/>
        <v>0</v>
      </c>
      <c r="AR547">
        <f t="shared" si="160"/>
        <v>7718359.29251081</v>
      </c>
      <c r="AS547">
        <f t="shared" si="152"/>
        <v>96479.4911563852</v>
      </c>
      <c r="AT547">
        <f t="shared" si="153"/>
        <v>0.0125</v>
      </c>
      <c r="AW547">
        <v>165.28</v>
      </c>
      <c r="AX547">
        <f t="shared" si="146"/>
        <v>0</v>
      </c>
      <c r="AY547">
        <f t="shared" si="154"/>
        <v>0</v>
      </c>
      <c r="AZ547">
        <f t="shared" si="161"/>
        <v>0</v>
      </c>
      <c r="BA547">
        <f t="shared" si="162"/>
        <v>0</v>
      </c>
      <c r="BB547">
        <f t="shared" si="155"/>
        <v>8867861.29797591</v>
      </c>
      <c r="BC547">
        <f t="shared" si="147"/>
        <v>110848.266224699</v>
      </c>
      <c r="BD547">
        <f t="shared" si="148"/>
        <v>0.0125</v>
      </c>
      <c r="BG547">
        <f t="shared" si="156"/>
        <v>0</v>
      </c>
      <c r="BH547">
        <f t="shared" si="157"/>
        <v>7170079.31508434</v>
      </c>
      <c r="BI547">
        <f t="shared" si="149"/>
        <v>89625.9914385543</v>
      </c>
      <c r="BJ547">
        <f t="shared" si="150"/>
        <v>0.0125</v>
      </c>
    </row>
    <row r="548" spans="39:62">
      <c r="AM548">
        <v>62.605</v>
      </c>
      <c r="AN548">
        <f t="shared" si="151"/>
        <v>0</v>
      </c>
      <c r="AO548">
        <f t="shared" si="158"/>
        <v>0</v>
      </c>
      <c r="AP548">
        <f t="shared" si="159"/>
        <v>0</v>
      </c>
      <c r="AQ548">
        <f t="shared" si="163"/>
        <v>0</v>
      </c>
      <c r="AR548">
        <f t="shared" si="160"/>
        <v>7718359.29251081</v>
      </c>
      <c r="AS548">
        <f t="shared" si="152"/>
        <v>96479.4911563852</v>
      </c>
      <c r="AT548">
        <f t="shared" si="153"/>
        <v>0.0125</v>
      </c>
      <c r="AW548">
        <v>165.49</v>
      </c>
      <c r="AX548">
        <f t="shared" si="146"/>
        <v>0</v>
      </c>
      <c r="AY548">
        <f t="shared" si="154"/>
        <v>0</v>
      </c>
      <c r="AZ548">
        <f t="shared" si="161"/>
        <v>0</v>
      </c>
      <c r="BA548">
        <f t="shared" si="162"/>
        <v>0</v>
      </c>
      <c r="BB548">
        <f t="shared" si="155"/>
        <v>8867861.29797591</v>
      </c>
      <c r="BC548">
        <f t="shared" si="147"/>
        <v>110848.266224699</v>
      </c>
      <c r="BD548">
        <f t="shared" si="148"/>
        <v>0.0125</v>
      </c>
      <c r="BG548">
        <f t="shared" si="156"/>
        <v>0</v>
      </c>
      <c r="BH548">
        <f t="shared" si="157"/>
        <v>7170079.31508434</v>
      </c>
      <c r="BI548">
        <f t="shared" si="149"/>
        <v>89625.9914385543</v>
      </c>
      <c r="BJ548">
        <f t="shared" si="150"/>
        <v>0.0125</v>
      </c>
    </row>
    <row r="549" spans="39:62">
      <c r="AM549">
        <v>62.865</v>
      </c>
      <c r="AN549">
        <f t="shared" si="151"/>
        <v>0</v>
      </c>
      <c r="AO549">
        <f t="shared" si="158"/>
        <v>0</v>
      </c>
      <c r="AP549">
        <f t="shared" si="159"/>
        <v>0</v>
      </c>
      <c r="AQ549">
        <f t="shared" si="163"/>
        <v>0</v>
      </c>
      <c r="AR549">
        <f t="shared" si="160"/>
        <v>7718359.29251081</v>
      </c>
      <c r="AS549">
        <f t="shared" si="152"/>
        <v>96479.4911563852</v>
      </c>
      <c r="AT549">
        <f t="shared" si="153"/>
        <v>0.0125</v>
      </c>
      <c r="AW549">
        <v>165.51</v>
      </c>
      <c r="AX549">
        <f t="shared" si="146"/>
        <v>0</v>
      </c>
      <c r="AY549">
        <f t="shared" si="154"/>
        <v>0</v>
      </c>
      <c r="AZ549">
        <f t="shared" si="161"/>
        <v>0</v>
      </c>
      <c r="BA549">
        <f t="shared" si="162"/>
        <v>0</v>
      </c>
      <c r="BB549">
        <f t="shared" si="155"/>
        <v>8867861.29797591</v>
      </c>
      <c r="BC549">
        <f t="shared" si="147"/>
        <v>110848.266224699</v>
      </c>
      <c r="BD549">
        <f t="shared" si="148"/>
        <v>0.0125</v>
      </c>
      <c r="BG549">
        <f t="shared" si="156"/>
        <v>0</v>
      </c>
      <c r="BH549">
        <f t="shared" si="157"/>
        <v>7170079.31508434</v>
      </c>
      <c r="BI549">
        <f t="shared" si="149"/>
        <v>89625.9914385543</v>
      </c>
      <c r="BJ549">
        <f t="shared" si="150"/>
        <v>0.0125</v>
      </c>
    </row>
    <row r="550" spans="39:62">
      <c r="AM550">
        <v>62.825</v>
      </c>
      <c r="AN550">
        <f t="shared" si="151"/>
        <v>0</v>
      </c>
      <c r="AO550">
        <f t="shared" si="158"/>
        <v>0</v>
      </c>
      <c r="AP550">
        <f t="shared" si="159"/>
        <v>0</v>
      </c>
      <c r="AQ550">
        <f t="shared" si="163"/>
        <v>0</v>
      </c>
      <c r="AR550">
        <f t="shared" si="160"/>
        <v>7718359.29251081</v>
      </c>
      <c r="AS550">
        <f t="shared" si="152"/>
        <v>96479.4911563852</v>
      </c>
      <c r="AT550">
        <f t="shared" si="153"/>
        <v>0.0125</v>
      </c>
      <c r="AW550">
        <v>166.36</v>
      </c>
      <c r="AX550">
        <f t="shared" si="146"/>
        <v>0</v>
      </c>
      <c r="AY550">
        <f t="shared" si="154"/>
        <v>0</v>
      </c>
      <c r="AZ550">
        <f t="shared" si="161"/>
        <v>0</v>
      </c>
      <c r="BA550">
        <f t="shared" si="162"/>
        <v>0</v>
      </c>
      <c r="BB550">
        <f t="shared" si="155"/>
        <v>8867861.29797591</v>
      </c>
      <c r="BC550">
        <f t="shared" si="147"/>
        <v>110848.266224699</v>
      </c>
      <c r="BD550">
        <f t="shared" si="148"/>
        <v>0.0125</v>
      </c>
      <c r="BG550">
        <f t="shared" si="156"/>
        <v>0</v>
      </c>
      <c r="BH550">
        <f t="shared" si="157"/>
        <v>7170079.31508434</v>
      </c>
      <c r="BI550">
        <f t="shared" si="149"/>
        <v>89625.9914385543</v>
      </c>
      <c r="BJ550">
        <f t="shared" si="150"/>
        <v>0.0125</v>
      </c>
    </row>
    <row r="551" spans="39:62">
      <c r="AM551">
        <v>62.745</v>
      </c>
      <c r="AN551">
        <f t="shared" si="151"/>
        <v>0</v>
      </c>
      <c r="AO551">
        <f t="shared" si="158"/>
        <v>0</v>
      </c>
      <c r="AP551">
        <f t="shared" si="159"/>
        <v>0</v>
      </c>
      <c r="AQ551">
        <f t="shared" si="163"/>
        <v>0</v>
      </c>
      <c r="AR551">
        <f t="shared" si="160"/>
        <v>7718359.29251081</v>
      </c>
      <c r="AS551">
        <f t="shared" si="152"/>
        <v>96479.4911563852</v>
      </c>
      <c r="AT551">
        <f t="shared" si="153"/>
        <v>0.0125</v>
      </c>
      <c r="AW551">
        <v>166.75</v>
      </c>
      <c r="AX551">
        <f t="shared" si="146"/>
        <v>0</v>
      </c>
      <c r="AY551">
        <f t="shared" si="154"/>
        <v>0</v>
      </c>
      <c r="AZ551">
        <f t="shared" si="161"/>
        <v>0</v>
      </c>
      <c r="BA551">
        <f t="shared" si="162"/>
        <v>0</v>
      </c>
      <c r="BB551">
        <f t="shared" si="155"/>
        <v>8867861.29797591</v>
      </c>
      <c r="BC551">
        <f t="shared" si="147"/>
        <v>110848.266224699</v>
      </c>
      <c r="BD551">
        <f t="shared" si="148"/>
        <v>0.0125</v>
      </c>
      <c r="BG551">
        <f t="shared" si="156"/>
        <v>0</v>
      </c>
      <c r="BH551">
        <f t="shared" si="157"/>
        <v>7170079.31508434</v>
      </c>
      <c r="BI551">
        <f t="shared" si="149"/>
        <v>89625.9914385543</v>
      </c>
      <c r="BJ551">
        <f t="shared" si="150"/>
        <v>0.0125</v>
      </c>
    </row>
    <row r="552" spans="39:62">
      <c r="AM552">
        <v>62.81</v>
      </c>
      <c r="AN552">
        <f t="shared" si="151"/>
        <v>0</v>
      </c>
      <c r="AO552">
        <f t="shared" si="158"/>
        <v>0</v>
      </c>
      <c r="AP552">
        <f t="shared" si="159"/>
        <v>0</v>
      </c>
      <c r="AQ552">
        <f t="shared" si="163"/>
        <v>0</v>
      </c>
      <c r="AR552">
        <f t="shared" si="160"/>
        <v>7718359.29251081</v>
      </c>
      <c r="AS552">
        <f t="shared" si="152"/>
        <v>96479.4911563852</v>
      </c>
      <c r="AT552">
        <f t="shared" si="153"/>
        <v>0.0125</v>
      </c>
      <c r="AW552">
        <v>166.35</v>
      </c>
      <c r="AX552">
        <f t="shared" si="146"/>
        <v>0</v>
      </c>
      <c r="AY552">
        <f t="shared" si="154"/>
        <v>0</v>
      </c>
      <c r="AZ552">
        <f t="shared" si="161"/>
        <v>0</v>
      </c>
      <c r="BA552">
        <f t="shared" si="162"/>
        <v>0</v>
      </c>
      <c r="BB552">
        <f t="shared" si="155"/>
        <v>8867861.29797591</v>
      </c>
      <c r="BC552">
        <f t="shared" si="147"/>
        <v>110848.266224699</v>
      </c>
      <c r="BD552">
        <f t="shared" si="148"/>
        <v>0.0125</v>
      </c>
      <c r="BG552">
        <f t="shared" si="156"/>
        <v>0</v>
      </c>
      <c r="BH552">
        <f t="shared" si="157"/>
        <v>7170079.31508434</v>
      </c>
      <c r="BI552">
        <f t="shared" si="149"/>
        <v>89625.9914385543</v>
      </c>
      <c r="BJ552">
        <f t="shared" si="150"/>
        <v>0.0125</v>
      </c>
    </row>
    <row r="553" spans="39:62">
      <c r="AM553">
        <v>62.95</v>
      </c>
      <c r="AN553">
        <f t="shared" si="151"/>
        <v>0</v>
      </c>
      <c r="AO553">
        <f t="shared" si="158"/>
        <v>0</v>
      </c>
      <c r="AP553">
        <f t="shared" si="159"/>
        <v>0</v>
      </c>
      <c r="AQ553">
        <f t="shared" si="163"/>
        <v>0</v>
      </c>
      <c r="AR553">
        <f t="shared" si="160"/>
        <v>7718359.29251081</v>
      </c>
      <c r="AS553">
        <f t="shared" si="152"/>
        <v>96479.4911563852</v>
      </c>
      <c r="AT553">
        <f t="shared" si="153"/>
        <v>0.0125</v>
      </c>
      <c r="AW553">
        <v>166.02</v>
      </c>
      <c r="AX553">
        <f t="shared" si="146"/>
        <v>0</v>
      </c>
      <c r="AY553">
        <f t="shared" si="154"/>
        <v>0</v>
      </c>
      <c r="AZ553">
        <f t="shared" si="161"/>
        <v>0</v>
      </c>
      <c r="BA553">
        <f t="shared" si="162"/>
        <v>0</v>
      </c>
      <c r="BB553">
        <f t="shared" si="155"/>
        <v>8867861.29797591</v>
      </c>
      <c r="BC553">
        <f t="shared" si="147"/>
        <v>110848.266224699</v>
      </c>
      <c r="BD553">
        <f t="shared" si="148"/>
        <v>0.0125</v>
      </c>
      <c r="BG553">
        <f t="shared" si="156"/>
        <v>0</v>
      </c>
      <c r="BH553">
        <f t="shared" si="157"/>
        <v>7170079.31508434</v>
      </c>
      <c r="BI553">
        <f t="shared" si="149"/>
        <v>89625.9914385543</v>
      </c>
      <c r="BJ553">
        <f t="shared" si="150"/>
        <v>0.0125</v>
      </c>
    </row>
    <row r="554" spans="39:62">
      <c r="AM554">
        <v>62.875</v>
      </c>
      <c r="AN554">
        <f t="shared" si="151"/>
        <v>0</v>
      </c>
      <c r="AO554">
        <f t="shared" si="158"/>
        <v>0</v>
      </c>
      <c r="AP554">
        <f t="shared" si="159"/>
        <v>0</v>
      </c>
      <c r="AQ554">
        <f t="shared" si="163"/>
        <v>0</v>
      </c>
      <c r="AR554">
        <f t="shared" si="160"/>
        <v>7718359.29251081</v>
      </c>
      <c r="AS554">
        <f t="shared" si="152"/>
        <v>96479.4911563852</v>
      </c>
      <c r="AT554">
        <f t="shared" si="153"/>
        <v>0.0125</v>
      </c>
      <c r="AW554">
        <v>166.12</v>
      </c>
      <c r="AX554">
        <f t="shared" si="146"/>
        <v>0</v>
      </c>
      <c r="AY554">
        <f t="shared" si="154"/>
        <v>0</v>
      </c>
      <c r="AZ554">
        <f t="shared" si="161"/>
        <v>0</v>
      </c>
      <c r="BA554">
        <f t="shared" si="162"/>
        <v>0</v>
      </c>
      <c r="BB554">
        <f t="shared" si="155"/>
        <v>8867861.29797591</v>
      </c>
      <c r="BC554">
        <f t="shared" si="147"/>
        <v>110848.266224699</v>
      </c>
      <c r="BD554">
        <f t="shared" si="148"/>
        <v>0.0125</v>
      </c>
      <c r="BG554">
        <f t="shared" si="156"/>
        <v>0</v>
      </c>
      <c r="BH554">
        <f t="shared" si="157"/>
        <v>7170079.31508434</v>
      </c>
      <c r="BI554">
        <f t="shared" si="149"/>
        <v>89625.9914385543</v>
      </c>
      <c r="BJ554">
        <f t="shared" si="150"/>
        <v>0.0125</v>
      </c>
    </row>
    <row r="555" spans="39:62">
      <c r="AM555">
        <v>63.035</v>
      </c>
      <c r="AN555">
        <f t="shared" si="151"/>
        <v>0</v>
      </c>
      <c r="AO555">
        <f t="shared" si="158"/>
        <v>0</v>
      </c>
      <c r="AP555">
        <f t="shared" si="159"/>
        <v>0</v>
      </c>
      <c r="AQ555">
        <f t="shared" si="163"/>
        <v>0</v>
      </c>
      <c r="AR555">
        <f t="shared" si="160"/>
        <v>7718359.29251081</v>
      </c>
      <c r="AS555">
        <f t="shared" si="152"/>
        <v>96479.4911563852</v>
      </c>
      <c r="AT555">
        <f t="shared" si="153"/>
        <v>0.0125</v>
      </c>
      <c r="AW555">
        <v>166.54</v>
      </c>
      <c r="AX555">
        <f t="shared" si="146"/>
        <v>0</v>
      </c>
      <c r="AY555">
        <f t="shared" si="154"/>
        <v>0</v>
      </c>
      <c r="AZ555">
        <f t="shared" si="161"/>
        <v>0</v>
      </c>
      <c r="BA555">
        <f t="shared" si="162"/>
        <v>0</v>
      </c>
      <c r="BB555">
        <f t="shared" si="155"/>
        <v>8867861.29797591</v>
      </c>
      <c r="BC555">
        <f t="shared" si="147"/>
        <v>110848.266224699</v>
      </c>
      <c r="BD555">
        <f t="shared" si="148"/>
        <v>0.0125</v>
      </c>
      <c r="BG555">
        <f t="shared" si="156"/>
        <v>0</v>
      </c>
      <c r="BH555">
        <f t="shared" si="157"/>
        <v>7170079.31508434</v>
      </c>
      <c r="BI555">
        <f t="shared" si="149"/>
        <v>89625.9914385543</v>
      </c>
      <c r="BJ555">
        <f t="shared" si="150"/>
        <v>0.0125</v>
      </c>
    </row>
    <row r="556" spans="39:62">
      <c r="AM556">
        <v>63.035</v>
      </c>
      <c r="AN556">
        <f t="shared" si="151"/>
        <v>0</v>
      </c>
      <c r="AO556">
        <f t="shared" si="158"/>
        <v>0</v>
      </c>
      <c r="AP556">
        <f t="shared" si="159"/>
        <v>0</v>
      </c>
      <c r="AQ556">
        <f t="shared" si="163"/>
        <v>0</v>
      </c>
      <c r="AR556">
        <f t="shared" si="160"/>
        <v>7718359.29251081</v>
      </c>
      <c r="AS556">
        <f t="shared" si="152"/>
        <v>96479.4911563852</v>
      </c>
      <c r="AT556">
        <f t="shared" si="153"/>
        <v>0.0125</v>
      </c>
      <c r="AW556">
        <v>166.47</v>
      </c>
      <c r="AX556">
        <f t="shared" si="146"/>
        <v>0</v>
      </c>
      <c r="AY556">
        <f t="shared" si="154"/>
        <v>0</v>
      </c>
      <c r="AZ556">
        <f t="shared" si="161"/>
        <v>0</v>
      </c>
      <c r="BA556">
        <f t="shared" si="162"/>
        <v>0</v>
      </c>
      <c r="BB556">
        <f t="shared" si="155"/>
        <v>8867861.29797591</v>
      </c>
      <c r="BC556">
        <f t="shared" si="147"/>
        <v>110848.266224699</v>
      </c>
      <c r="BD556">
        <f t="shared" si="148"/>
        <v>0.0125</v>
      </c>
      <c r="BG556">
        <f t="shared" si="156"/>
        <v>0</v>
      </c>
      <c r="BH556">
        <f t="shared" si="157"/>
        <v>7170079.31508434</v>
      </c>
      <c r="BI556">
        <f t="shared" si="149"/>
        <v>89625.9914385543</v>
      </c>
      <c r="BJ556">
        <f t="shared" si="150"/>
        <v>0.0125</v>
      </c>
    </row>
    <row r="557" spans="39:62">
      <c r="AM557">
        <v>63.6</v>
      </c>
      <c r="AN557">
        <f t="shared" si="151"/>
        <v>0</v>
      </c>
      <c r="AO557">
        <f t="shared" si="158"/>
        <v>0</v>
      </c>
      <c r="AP557">
        <f t="shared" si="159"/>
        <v>0</v>
      </c>
      <c r="AQ557">
        <f t="shared" si="163"/>
        <v>0</v>
      </c>
      <c r="AR557">
        <f t="shared" si="160"/>
        <v>7718359.29251081</v>
      </c>
      <c r="AS557">
        <f t="shared" si="152"/>
        <v>96479.4911563852</v>
      </c>
      <c r="AT557">
        <f t="shared" si="153"/>
        <v>0.0125</v>
      </c>
      <c r="AW557">
        <v>166.36</v>
      </c>
      <c r="AX557">
        <f t="shared" si="146"/>
        <v>0</v>
      </c>
      <c r="AY557">
        <f t="shared" si="154"/>
        <v>0</v>
      </c>
      <c r="AZ557">
        <f t="shared" si="161"/>
        <v>0</v>
      </c>
      <c r="BA557">
        <f t="shared" si="162"/>
        <v>0</v>
      </c>
      <c r="BB557">
        <f t="shared" si="155"/>
        <v>8867861.29797591</v>
      </c>
      <c r="BC557">
        <f t="shared" si="147"/>
        <v>110848.266224699</v>
      </c>
      <c r="BD557">
        <f t="shared" si="148"/>
        <v>0.0125</v>
      </c>
      <c r="BG557">
        <f t="shared" si="156"/>
        <v>0</v>
      </c>
      <c r="BH557">
        <f t="shared" si="157"/>
        <v>7170079.31508434</v>
      </c>
      <c r="BI557">
        <f t="shared" si="149"/>
        <v>89625.9914385543</v>
      </c>
      <c r="BJ557">
        <f t="shared" si="150"/>
        <v>0.0125</v>
      </c>
    </row>
    <row r="558" spans="39:62">
      <c r="AM558">
        <v>63.5</v>
      </c>
      <c r="AN558">
        <f t="shared" si="151"/>
        <v>0</v>
      </c>
      <c r="AO558">
        <f t="shared" si="158"/>
        <v>0</v>
      </c>
      <c r="AP558">
        <f t="shared" si="159"/>
        <v>0</v>
      </c>
      <c r="AQ558">
        <f t="shared" si="163"/>
        <v>0</v>
      </c>
      <c r="AR558">
        <f t="shared" si="160"/>
        <v>7718359.29251081</v>
      </c>
      <c r="AS558">
        <f t="shared" si="152"/>
        <v>96479.4911563852</v>
      </c>
      <c r="AT558">
        <f t="shared" si="153"/>
        <v>0.0125</v>
      </c>
      <c r="AW558">
        <v>166.42</v>
      </c>
      <c r="AX558">
        <f t="shared" si="146"/>
        <v>0</v>
      </c>
      <c r="AY558">
        <f t="shared" si="154"/>
        <v>0</v>
      </c>
      <c r="AZ558">
        <f t="shared" si="161"/>
        <v>0</v>
      </c>
      <c r="BA558">
        <f t="shared" si="162"/>
        <v>0</v>
      </c>
      <c r="BB558">
        <f t="shared" si="155"/>
        <v>8867861.29797591</v>
      </c>
      <c r="BC558">
        <f t="shared" si="147"/>
        <v>110848.266224699</v>
      </c>
      <c r="BD558">
        <f t="shared" si="148"/>
        <v>0.0125</v>
      </c>
      <c r="BG558">
        <f t="shared" si="156"/>
        <v>0</v>
      </c>
      <c r="BH558">
        <f t="shared" si="157"/>
        <v>7170079.31508434</v>
      </c>
      <c r="BI558">
        <f t="shared" si="149"/>
        <v>89625.9914385543</v>
      </c>
      <c r="BJ558">
        <f t="shared" si="150"/>
        <v>0.0125</v>
      </c>
    </row>
    <row r="559" spans="39:62">
      <c r="AM559">
        <v>63.495</v>
      </c>
      <c r="AN559">
        <f t="shared" si="151"/>
        <v>0</v>
      </c>
      <c r="AO559">
        <f t="shared" si="158"/>
        <v>0</v>
      </c>
      <c r="AP559">
        <f t="shared" si="159"/>
        <v>0</v>
      </c>
      <c r="AQ559">
        <f t="shared" si="163"/>
        <v>0</v>
      </c>
      <c r="AR559">
        <f t="shared" si="160"/>
        <v>7718359.29251081</v>
      </c>
      <c r="AS559">
        <f t="shared" si="152"/>
        <v>96479.4911563852</v>
      </c>
      <c r="AT559">
        <f t="shared" si="153"/>
        <v>0.0125</v>
      </c>
      <c r="AW559">
        <v>166.51</v>
      </c>
      <c r="AX559">
        <f t="shared" si="146"/>
        <v>0</v>
      </c>
      <c r="AY559">
        <f t="shared" si="154"/>
        <v>0</v>
      </c>
      <c r="AZ559">
        <f t="shared" si="161"/>
        <v>0</v>
      </c>
      <c r="BA559">
        <f t="shared" si="162"/>
        <v>0</v>
      </c>
      <c r="BB559">
        <f t="shared" si="155"/>
        <v>8867861.29797591</v>
      </c>
      <c r="BC559">
        <f t="shared" si="147"/>
        <v>110848.266224699</v>
      </c>
      <c r="BD559">
        <f t="shared" si="148"/>
        <v>0.0125</v>
      </c>
      <c r="BG559">
        <f t="shared" si="156"/>
        <v>0</v>
      </c>
      <c r="BH559">
        <f t="shared" si="157"/>
        <v>7170079.31508434</v>
      </c>
      <c r="BI559">
        <f t="shared" si="149"/>
        <v>89625.9914385543</v>
      </c>
      <c r="BJ559">
        <f t="shared" si="150"/>
        <v>0.0125</v>
      </c>
    </row>
    <row r="560" spans="39:62">
      <c r="AM560">
        <v>64.04</v>
      </c>
      <c r="AN560">
        <f t="shared" si="151"/>
        <v>0</v>
      </c>
      <c r="AO560">
        <f t="shared" si="158"/>
        <v>0</v>
      </c>
      <c r="AP560">
        <f t="shared" si="159"/>
        <v>0</v>
      </c>
      <c r="AQ560">
        <f t="shared" si="163"/>
        <v>0</v>
      </c>
      <c r="AR560">
        <f t="shared" si="160"/>
        <v>7718359.29251081</v>
      </c>
      <c r="AS560">
        <f t="shared" si="152"/>
        <v>96479.4911563852</v>
      </c>
      <c r="AT560">
        <f t="shared" si="153"/>
        <v>0.0125</v>
      </c>
      <c r="AW560">
        <v>166.07</v>
      </c>
      <c r="AX560">
        <f t="shared" si="146"/>
        <v>0</v>
      </c>
      <c r="AY560">
        <f t="shared" si="154"/>
        <v>0</v>
      </c>
      <c r="AZ560">
        <f t="shared" si="161"/>
        <v>0</v>
      </c>
      <c r="BA560">
        <f t="shared" si="162"/>
        <v>0</v>
      </c>
      <c r="BB560">
        <f t="shared" si="155"/>
        <v>8867861.29797591</v>
      </c>
      <c r="BC560">
        <f t="shared" si="147"/>
        <v>110848.266224699</v>
      </c>
      <c r="BD560">
        <f t="shared" si="148"/>
        <v>0.0125</v>
      </c>
      <c r="BG560">
        <f t="shared" si="156"/>
        <v>0</v>
      </c>
      <c r="BH560">
        <f t="shared" si="157"/>
        <v>7170079.31508434</v>
      </c>
      <c r="BI560">
        <f t="shared" si="149"/>
        <v>89625.9914385543</v>
      </c>
      <c r="BJ560">
        <f t="shared" si="150"/>
        <v>0.0125</v>
      </c>
    </row>
    <row r="561" spans="39:62">
      <c r="AM561">
        <v>63.55</v>
      </c>
      <c r="AN561">
        <f t="shared" si="151"/>
        <v>0</v>
      </c>
      <c r="AO561">
        <f t="shared" si="158"/>
        <v>0</v>
      </c>
      <c r="AP561">
        <f t="shared" si="159"/>
        <v>0</v>
      </c>
      <c r="AQ561">
        <f t="shared" si="163"/>
        <v>0</v>
      </c>
      <c r="AR561">
        <f t="shared" si="160"/>
        <v>7718359.29251081</v>
      </c>
      <c r="AS561">
        <f t="shared" si="152"/>
        <v>96479.4911563852</v>
      </c>
      <c r="AT561">
        <f t="shared" si="153"/>
        <v>0.0125</v>
      </c>
      <c r="AW561">
        <v>166.62</v>
      </c>
      <c r="AX561">
        <f t="shared" si="146"/>
        <v>0</v>
      </c>
      <c r="AY561">
        <f t="shared" si="154"/>
        <v>0</v>
      </c>
      <c r="AZ561">
        <f t="shared" si="161"/>
        <v>0</v>
      </c>
      <c r="BA561">
        <f t="shared" si="162"/>
        <v>0</v>
      </c>
      <c r="BB561">
        <f t="shared" si="155"/>
        <v>8867861.29797591</v>
      </c>
      <c r="BC561">
        <f t="shared" si="147"/>
        <v>110848.266224699</v>
      </c>
      <c r="BD561">
        <f t="shared" si="148"/>
        <v>0.0125</v>
      </c>
      <c r="BG561">
        <f t="shared" si="156"/>
        <v>0</v>
      </c>
      <c r="BH561">
        <f t="shared" si="157"/>
        <v>7170079.31508434</v>
      </c>
      <c r="BI561">
        <f t="shared" si="149"/>
        <v>89625.9914385543</v>
      </c>
      <c r="BJ561">
        <f t="shared" si="150"/>
        <v>0.0125</v>
      </c>
    </row>
    <row r="562" spans="39:62">
      <c r="AM562">
        <v>63.575</v>
      </c>
      <c r="AN562">
        <f t="shared" si="151"/>
        <v>0</v>
      </c>
      <c r="AO562">
        <f t="shared" si="158"/>
        <v>0</v>
      </c>
      <c r="AP562">
        <f t="shared" si="159"/>
        <v>0</v>
      </c>
      <c r="AQ562">
        <f t="shared" si="163"/>
        <v>0</v>
      </c>
      <c r="AR562">
        <f t="shared" si="160"/>
        <v>7718359.29251081</v>
      </c>
      <c r="AS562">
        <f t="shared" si="152"/>
        <v>96479.4911563852</v>
      </c>
      <c r="AT562">
        <f t="shared" si="153"/>
        <v>0.0125</v>
      </c>
      <c r="AW562">
        <v>166.4</v>
      </c>
      <c r="AX562">
        <f t="shared" si="146"/>
        <v>0</v>
      </c>
      <c r="AY562">
        <f t="shared" si="154"/>
        <v>0</v>
      </c>
      <c r="AZ562">
        <f t="shared" si="161"/>
        <v>0</v>
      </c>
      <c r="BA562">
        <f t="shared" si="162"/>
        <v>0</v>
      </c>
      <c r="BB562">
        <f t="shared" si="155"/>
        <v>8867861.29797591</v>
      </c>
      <c r="BC562">
        <f t="shared" si="147"/>
        <v>110848.266224699</v>
      </c>
      <c r="BD562">
        <f t="shared" si="148"/>
        <v>0.0125</v>
      </c>
      <c r="BG562">
        <f t="shared" si="156"/>
        <v>0</v>
      </c>
      <c r="BH562">
        <f t="shared" si="157"/>
        <v>7170079.31508434</v>
      </c>
      <c r="BI562">
        <f t="shared" si="149"/>
        <v>89625.9914385543</v>
      </c>
      <c r="BJ562">
        <f t="shared" si="150"/>
        <v>0.0125</v>
      </c>
    </row>
    <row r="563" spans="39:62">
      <c r="AM563">
        <v>63.43</v>
      </c>
      <c r="AN563">
        <f t="shared" si="151"/>
        <v>0</v>
      </c>
      <c r="AO563">
        <f t="shared" si="158"/>
        <v>0</v>
      </c>
      <c r="AP563">
        <f t="shared" si="159"/>
        <v>0</v>
      </c>
      <c r="AQ563">
        <f t="shared" si="163"/>
        <v>0</v>
      </c>
      <c r="AR563">
        <f t="shared" si="160"/>
        <v>7718359.29251081</v>
      </c>
      <c r="AS563">
        <f t="shared" si="152"/>
        <v>96479.4911563852</v>
      </c>
      <c r="AT563">
        <f t="shared" si="153"/>
        <v>0.0125</v>
      </c>
      <c r="AW563">
        <v>166.27</v>
      </c>
      <c r="AX563">
        <f t="shared" si="146"/>
        <v>0</v>
      </c>
      <c r="AY563">
        <f t="shared" si="154"/>
        <v>0</v>
      </c>
      <c r="AZ563">
        <f t="shared" si="161"/>
        <v>0</v>
      </c>
      <c r="BA563">
        <f t="shared" si="162"/>
        <v>0</v>
      </c>
      <c r="BB563">
        <f t="shared" si="155"/>
        <v>8867861.29797591</v>
      </c>
      <c r="BC563">
        <f t="shared" si="147"/>
        <v>110848.266224699</v>
      </c>
      <c r="BD563">
        <f t="shared" si="148"/>
        <v>0.0125</v>
      </c>
      <c r="BG563">
        <f t="shared" si="156"/>
        <v>0</v>
      </c>
      <c r="BH563">
        <f t="shared" si="157"/>
        <v>7170079.31508434</v>
      </c>
      <c r="BI563">
        <f t="shared" si="149"/>
        <v>89625.9914385543</v>
      </c>
      <c r="BJ563">
        <f t="shared" si="150"/>
        <v>0.0125</v>
      </c>
    </row>
    <row r="564" spans="39:62">
      <c r="AM564">
        <v>63.09</v>
      </c>
      <c r="AN564">
        <f t="shared" si="151"/>
        <v>0</v>
      </c>
      <c r="AO564">
        <f t="shared" si="158"/>
        <v>0</v>
      </c>
      <c r="AP564">
        <f t="shared" si="159"/>
        <v>0</v>
      </c>
      <c r="AQ564">
        <f t="shared" si="163"/>
        <v>0</v>
      </c>
      <c r="AR564">
        <f t="shared" si="160"/>
        <v>7718359.29251081</v>
      </c>
      <c r="AS564">
        <f t="shared" si="152"/>
        <v>96479.4911563852</v>
      </c>
      <c r="AT564">
        <f t="shared" si="153"/>
        <v>0.0125</v>
      </c>
      <c r="AW564">
        <v>165.68</v>
      </c>
      <c r="AX564">
        <f t="shared" si="146"/>
        <v>0</v>
      </c>
      <c r="AY564">
        <f t="shared" si="154"/>
        <v>0</v>
      </c>
      <c r="AZ564">
        <f t="shared" si="161"/>
        <v>0</v>
      </c>
      <c r="BA564">
        <f t="shared" si="162"/>
        <v>0</v>
      </c>
      <c r="BB564">
        <f t="shared" si="155"/>
        <v>8867861.29797591</v>
      </c>
      <c r="BC564">
        <f t="shared" si="147"/>
        <v>110848.266224699</v>
      </c>
      <c r="BD564">
        <f t="shared" si="148"/>
        <v>0.0125</v>
      </c>
      <c r="BG564">
        <f t="shared" si="156"/>
        <v>0</v>
      </c>
      <c r="BH564">
        <f t="shared" si="157"/>
        <v>7170079.31508434</v>
      </c>
      <c r="BI564">
        <f t="shared" si="149"/>
        <v>89625.9914385543</v>
      </c>
      <c r="BJ564">
        <f t="shared" si="150"/>
        <v>0.0125</v>
      </c>
    </row>
    <row r="565" spans="39:62">
      <c r="AM565">
        <v>62.44</v>
      </c>
      <c r="AN565">
        <f t="shared" si="151"/>
        <v>0</v>
      </c>
      <c r="AO565">
        <f t="shared" si="158"/>
        <v>0</v>
      </c>
      <c r="AP565">
        <f t="shared" si="159"/>
        <v>0</v>
      </c>
      <c r="AQ565">
        <f t="shared" si="163"/>
        <v>0</v>
      </c>
      <c r="AR565">
        <f t="shared" si="160"/>
        <v>7718359.29251081</v>
      </c>
      <c r="AS565">
        <f t="shared" si="152"/>
        <v>96479.4911563852</v>
      </c>
      <c r="AT565">
        <f t="shared" si="153"/>
        <v>0.0125</v>
      </c>
      <c r="AW565">
        <v>165.31</v>
      </c>
      <c r="AX565">
        <f t="shared" si="146"/>
        <v>0</v>
      </c>
      <c r="AY565">
        <f t="shared" si="154"/>
        <v>0</v>
      </c>
      <c r="AZ565">
        <f t="shared" si="161"/>
        <v>0</v>
      </c>
      <c r="BA565">
        <f t="shared" si="162"/>
        <v>0</v>
      </c>
      <c r="BB565">
        <f t="shared" si="155"/>
        <v>8867861.29797591</v>
      </c>
      <c r="BC565">
        <f t="shared" si="147"/>
        <v>110848.266224699</v>
      </c>
      <c r="BD565">
        <f t="shared" si="148"/>
        <v>0.0125</v>
      </c>
      <c r="BG565">
        <f t="shared" si="156"/>
        <v>0</v>
      </c>
      <c r="BH565">
        <f t="shared" si="157"/>
        <v>7170079.31508434</v>
      </c>
      <c r="BI565">
        <f t="shared" si="149"/>
        <v>89625.9914385543</v>
      </c>
      <c r="BJ565">
        <f t="shared" si="150"/>
        <v>0.0125</v>
      </c>
    </row>
    <row r="566" spans="39:62">
      <c r="AM566">
        <v>61.985</v>
      </c>
      <c r="AN566">
        <f t="shared" si="151"/>
        <v>0</v>
      </c>
      <c r="AO566">
        <f t="shared" si="158"/>
        <v>0</v>
      </c>
      <c r="AP566">
        <f t="shared" si="159"/>
        <v>0</v>
      </c>
      <c r="AQ566">
        <f t="shared" si="163"/>
        <v>0</v>
      </c>
      <c r="AR566">
        <f t="shared" si="160"/>
        <v>7718359.29251081</v>
      </c>
      <c r="AS566">
        <f t="shared" si="152"/>
        <v>96479.4911563852</v>
      </c>
      <c r="AT566">
        <f t="shared" si="153"/>
        <v>0.0125</v>
      </c>
      <c r="AW566">
        <v>165.22</v>
      </c>
      <c r="AX566">
        <f t="shared" si="146"/>
        <v>0</v>
      </c>
      <c r="AY566">
        <f t="shared" si="154"/>
        <v>0</v>
      </c>
      <c r="AZ566">
        <f t="shared" si="161"/>
        <v>0</v>
      </c>
      <c r="BA566">
        <f t="shared" si="162"/>
        <v>0</v>
      </c>
      <c r="BB566">
        <f t="shared" si="155"/>
        <v>8867861.29797591</v>
      </c>
      <c r="BC566">
        <f t="shared" si="147"/>
        <v>110848.266224699</v>
      </c>
      <c r="BD566">
        <f t="shared" si="148"/>
        <v>0.0125</v>
      </c>
      <c r="BG566">
        <f t="shared" si="156"/>
        <v>0</v>
      </c>
      <c r="BH566">
        <f t="shared" si="157"/>
        <v>7170079.31508434</v>
      </c>
      <c r="BI566">
        <f t="shared" si="149"/>
        <v>89625.9914385543</v>
      </c>
      <c r="BJ566">
        <f t="shared" si="150"/>
        <v>0.0125</v>
      </c>
    </row>
    <row r="567" spans="39:62">
      <c r="AM567">
        <v>62.23</v>
      </c>
      <c r="AN567">
        <f t="shared" si="151"/>
        <v>0</v>
      </c>
      <c r="AO567">
        <f t="shared" si="158"/>
        <v>0</v>
      </c>
      <c r="AP567">
        <f t="shared" si="159"/>
        <v>0</v>
      </c>
      <c r="AQ567">
        <f t="shared" si="163"/>
        <v>0</v>
      </c>
      <c r="AR567">
        <f t="shared" si="160"/>
        <v>7718359.29251081</v>
      </c>
      <c r="AS567">
        <f t="shared" si="152"/>
        <v>96479.4911563852</v>
      </c>
      <c r="AT567">
        <f t="shared" si="153"/>
        <v>0.0125</v>
      </c>
      <c r="AW567">
        <v>163.04</v>
      </c>
      <c r="AX567">
        <f t="shared" si="146"/>
        <v>0</v>
      </c>
      <c r="AY567">
        <f t="shared" si="154"/>
        <v>0</v>
      </c>
      <c r="AZ567">
        <f t="shared" si="161"/>
        <v>0</v>
      </c>
      <c r="BA567">
        <f t="shared" si="162"/>
        <v>0</v>
      </c>
      <c r="BB567">
        <f t="shared" si="155"/>
        <v>8867861.29797591</v>
      </c>
      <c r="BC567">
        <f t="shared" si="147"/>
        <v>110848.266224699</v>
      </c>
      <c r="BD567">
        <f t="shared" si="148"/>
        <v>0.0125</v>
      </c>
      <c r="BG567">
        <f t="shared" si="156"/>
        <v>0</v>
      </c>
      <c r="BH567">
        <f t="shared" si="157"/>
        <v>7170079.31508434</v>
      </c>
      <c r="BI567">
        <f t="shared" si="149"/>
        <v>89625.9914385543</v>
      </c>
      <c r="BJ567">
        <f t="shared" si="150"/>
        <v>0.0125</v>
      </c>
    </row>
    <row r="568" spans="39:62">
      <c r="AM568">
        <v>62.47</v>
      </c>
      <c r="AN568">
        <f t="shared" si="151"/>
        <v>0</v>
      </c>
      <c r="AO568">
        <f t="shared" si="158"/>
        <v>0</v>
      </c>
      <c r="AP568">
        <f t="shared" si="159"/>
        <v>0</v>
      </c>
      <c r="AQ568">
        <f t="shared" si="163"/>
        <v>0</v>
      </c>
      <c r="AR568">
        <f t="shared" si="160"/>
        <v>7718359.29251081</v>
      </c>
      <c r="AS568">
        <f t="shared" si="152"/>
        <v>96479.4911563852</v>
      </c>
      <c r="AT568">
        <f t="shared" si="153"/>
        <v>0.0125</v>
      </c>
      <c r="AW568">
        <v>162.96</v>
      </c>
      <c r="AX568">
        <f t="shared" si="146"/>
        <v>0</v>
      </c>
      <c r="AY568">
        <f t="shared" si="154"/>
        <v>0</v>
      </c>
      <c r="AZ568">
        <f t="shared" si="161"/>
        <v>0</v>
      </c>
      <c r="BA568">
        <f t="shared" si="162"/>
        <v>0</v>
      </c>
      <c r="BB568">
        <f t="shared" si="155"/>
        <v>8867861.29797591</v>
      </c>
      <c r="BC568">
        <f t="shared" si="147"/>
        <v>110848.266224699</v>
      </c>
      <c r="BD568">
        <f t="shared" si="148"/>
        <v>0.0125</v>
      </c>
      <c r="BG568">
        <f t="shared" si="156"/>
        <v>0</v>
      </c>
      <c r="BH568">
        <f t="shared" si="157"/>
        <v>7170079.31508434</v>
      </c>
      <c r="BI568">
        <f t="shared" si="149"/>
        <v>89625.9914385543</v>
      </c>
      <c r="BJ568">
        <f t="shared" si="150"/>
        <v>0.0125</v>
      </c>
    </row>
    <row r="569" spans="39:62">
      <c r="AM569">
        <v>63.4</v>
      </c>
      <c r="AN569">
        <f t="shared" si="151"/>
        <v>0</v>
      </c>
      <c r="AO569">
        <f t="shared" si="158"/>
        <v>0</v>
      </c>
      <c r="AP569">
        <f t="shared" si="159"/>
        <v>0</v>
      </c>
      <c r="AQ569">
        <f t="shared" si="163"/>
        <v>0</v>
      </c>
      <c r="AR569">
        <f t="shared" si="160"/>
        <v>7718359.29251081</v>
      </c>
      <c r="AS569">
        <f t="shared" si="152"/>
        <v>96479.4911563852</v>
      </c>
      <c r="AT569">
        <f t="shared" si="153"/>
        <v>0.0125</v>
      </c>
      <c r="AW569">
        <v>163.55</v>
      </c>
      <c r="AX569">
        <f t="shared" si="146"/>
        <v>0</v>
      </c>
      <c r="AY569">
        <f t="shared" si="154"/>
        <v>0</v>
      </c>
      <c r="AZ569">
        <f t="shared" si="161"/>
        <v>0</v>
      </c>
      <c r="BA569">
        <f t="shared" si="162"/>
        <v>0</v>
      </c>
      <c r="BB569">
        <f t="shared" si="155"/>
        <v>8867861.29797591</v>
      </c>
      <c r="BC569">
        <f t="shared" si="147"/>
        <v>110848.266224699</v>
      </c>
      <c r="BD569">
        <f t="shared" si="148"/>
        <v>0.0125</v>
      </c>
      <c r="BG569">
        <f t="shared" si="156"/>
        <v>0</v>
      </c>
      <c r="BH569">
        <f t="shared" si="157"/>
        <v>7170079.31508434</v>
      </c>
      <c r="BI569">
        <f t="shared" si="149"/>
        <v>89625.9914385543</v>
      </c>
      <c r="BJ569">
        <f t="shared" si="150"/>
        <v>0.0125</v>
      </c>
    </row>
    <row r="570" spans="39:62">
      <c r="AM570">
        <v>63.37</v>
      </c>
      <c r="AN570">
        <f t="shared" si="151"/>
        <v>0</v>
      </c>
      <c r="AO570">
        <f t="shared" si="158"/>
        <v>0</v>
      </c>
      <c r="AP570">
        <f t="shared" si="159"/>
        <v>0</v>
      </c>
      <c r="AQ570">
        <f t="shared" si="163"/>
        <v>0</v>
      </c>
      <c r="AR570">
        <f t="shared" si="160"/>
        <v>7718359.29251081</v>
      </c>
      <c r="AS570">
        <f t="shared" si="152"/>
        <v>96479.4911563852</v>
      </c>
      <c r="AT570">
        <f t="shared" si="153"/>
        <v>0.0125</v>
      </c>
      <c r="AW570">
        <v>164.54</v>
      </c>
      <c r="AX570">
        <f t="shared" si="146"/>
        <v>0</v>
      </c>
      <c r="AY570">
        <f t="shared" si="154"/>
        <v>0</v>
      </c>
      <c r="AZ570">
        <f t="shared" si="161"/>
        <v>0</v>
      </c>
      <c r="BA570">
        <f t="shared" si="162"/>
        <v>0</v>
      </c>
      <c r="BB570">
        <f t="shared" si="155"/>
        <v>8867861.29797591</v>
      </c>
      <c r="BC570">
        <f t="shared" si="147"/>
        <v>110848.266224699</v>
      </c>
      <c r="BD570">
        <f t="shared" si="148"/>
        <v>0.0125</v>
      </c>
      <c r="BG570">
        <f t="shared" si="156"/>
        <v>0</v>
      </c>
      <c r="BH570">
        <f t="shared" si="157"/>
        <v>7170079.31508434</v>
      </c>
      <c r="BI570">
        <f t="shared" si="149"/>
        <v>89625.9914385543</v>
      </c>
      <c r="BJ570">
        <f t="shared" si="150"/>
        <v>0.0125</v>
      </c>
    </row>
    <row r="571" spans="39:62">
      <c r="AM571">
        <v>63.095</v>
      </c>
      <c r="AN571">
        <f t="shared" si="151"/>
        <v>0</v>
      </c>
      <c r="AO571">
        <f t="shared" si="158"/>
        <v>0</v>
      </c>
      <c r="AP571">
        <f t="shared" si="159"/>
        <v>0</v>
      </c>
      <c r="AQ571">
        <f t="shared" si="163"/>
        <v>0</v>
      </c>
      <c r="AR571">
        <f t="shared" si="160"/>
        <v>7718359.29251081</v>
      </c>
      <c r="AS571">
        <f t="shared" si="152"/>
        <v>96479.4911563852</v>
      </c>
      <c r="AT571">
        <f t="shared" si="153"/>
        <v>0.0125</v>
      </c>
      <c r="AW571">
        <v>164.39</v>
      </c>
      <c r="AX571">
        <f t="shared" si="146"/>
        <v>0</v>
      </c>
      <c r="AY571">
        <f t="shared" si="154"/>
        <v>0</v>
      </c>
      <c r="AZ571">
        <f t="shared" si="161"/>
        <v>0</v>
      </c>
      <c r="BA571">
        <f t="shared" si="162"/>
        <v>0</v>
      </c>
      <c r="BB571">
        <f t="shared" si="155"/>
        <v>8867861.29797591</v>
      </c>
      <c r="BC571">
        <f t="shared" si="147"/>
        <v>110848.266224699</v>
      </c>
      <c r="BD571">
        <f t="shared" si="148"/>
        <v>0.0125</v>
      </c>
      <c r="BG571">
        <f t="shared" si="156"/>
        <v>0</v>
      </c>
      <c r="BH571">
        <f t="shared" si="157"/>
        <v>7170079.31508434</v>
      </c>
      <c r="BI571">
        <f t="shared" si="149"/>
        <v>89625.9914385543</v>
      </c>
      <c r="BJ571">
        <f t="shared" si="150"/>
        <v>0.0125</v>
      </c>
    </row>
    <row r="572" spans="39:62">
      <c r="AM572">
        <v>62.695</v>
      </c>
      <c r="AN572">
        <f t="shared" si="151"/>
        <v>0</v>
      </c>
      <c r="AO572">
        <f t="shared" si="158"/>
        <v>0</v>
      </c>
      <c r="AP572">
        <f t="shared" si="159"/>
        <v>0</v>
      </c>
      <c r="AQ572">
        <f t="shared" si="163"/>
        <v>0</v>
      </c>
      <c r="AR572">
        <f t="shared" si="160"/>
        <v>7718359.29251081</v>
      </c>
      <c r="AS572">
        <f t="shared" si="152"/>
        <v>96479.4911563852</v>
      </c>
      <c r="AT572">
        <f t="shared" si="153"/>
        <v>0.0125</v>
      </c>
      <c r="AW572">
        <v>164.53</v>
      </c>
      <c r="AX572">
        <f t="shared" si="146"/>
        <v>0</v>
      </c>
      <c r="AY572">
        <f t="shared" si="154"/>
        <v>0</v>
      </c>
      <c r="AZ572">
        <f t="shared" si="161"/>
        <v>0</v>
      </c>
      <c r="BA572">
        <f t="shared" si="162"/>
        <v>0</v>
      </c>
      <c r="BB572">
        <f t="shared" si="155"/>
        <v>8867861.29797591</v>
      </c>
      <c r="BC572">
        <f t="shared" si="147"/>
        <v>110848.266224699</v>
      </c>
      <c r="BD572">
        <f t="shared" si="148"/>
        <v>0.0125</v>
      </c>
      <c r="BG572">
        <f t="shared" si="156"/>
        <v>0</v>
      </c>
      <c r="BH572">
        <f t="shared" si="157"/>
        <v>7170079.31508434</v>
      </c>
      <c r="BI572">
        <f t="shared" si="149"/>
        <v>89625.9914385543</v>
      </c>
      <c r="BJ572">
        <f t="shared" si="150"/>
        <v>0.0125</v>
      </c>
    </row>
    <row r="573" spans="39:62">
      <c r="AM573">
        <v>63.07</v>
      </c>
      <c r="AN573">
        <f t="shared" si="151"/>
        <v>0</v>
      </c>
      <c r="AO573">
        <f t="shared" si="158"/>
        <v>0</v>
      </c>
      <c r="AP573">
        <f t="shared" si="159"/>
        <v>0</v>
      </c>
      <c r="AQ573">
        <f t="shared" si="163"/>
        <v>0</v>
      </c>
      <c r="AR573">
        <f t="shared" si="160"/>
        <v>7718359.29251081</v>
      </c>
      <c r="AS573">
        <f t="shared" si="152"/>
        <v>96479.4911563852</v>
      </c>
      <c r="AT573">
        <f t="shared" si="153"/>
        <v>0.0125</v>
      </c>
      <c r="AW573">
        <v>164.54</v>
      </c>
      <c r="AX573">
        <f t="shared" si="146"/>
        <v>0</v>
      </c>
      <c r="AY573">
        <f t="shared" si="154"/>
        <v>0</v>
      </c>
      <c r="AZ573">
        <f t="shared" si="161"/>
        <v>0</v>
      </c>
      <c r="BA573">
        <f t="shared" si="162"/>
        <v>0</v>
      </c>
      <c r="BB573">
        <f t="shared" si="155"/>
        <v>8867861.29797591</v>
      </c>
      <c r="BC573">
        <f t="shared" si="147"/>
        <v>110848.266224699</v>
      </c>
      <c r="BD573">
        <f t="shared" si="148"/>
        <v>0.0125</v>
      </c>
      <c r="BG573">
        <f t="shared" si="156"/>
        <v>0</v>
      </c>
      <c r="BH573">
        <f t="shared" si="157"/>
        <v>7170079.31508434</v>
      </c>
      <c r="BI573">
        <f t="shared" si="149"/>
        <v>89625.9914385543</v>
      </c>
      <c r="BJ573">
        <f t="shared" si="150"/>
        <v>0.0125</v>
      </c>
    </row>
    <row r="574" spans="39:62">
      <c r="AM574">
        <v>63.195</v>
      </c>
      <c r="AN574">
        <f t="shared" si="151"/>
        <v>0</v>
      </c>
      <c r="AO574">
        <f t="shared" si="158"/>
        <v>0</v>
      </c>
      <c r="AP574">
        <f t="shared" si="159"/>
        <v>0</v>
      </c>
      <c r="AQ574">
        <f t="shared" si="163"/>
        <v>0</v>
      </c>
      <c r="AR574">
        <f t="shared" si="160"/>
        <v>7718359.29251081</v>
      </c>
      <c r="AS574">
        <f t="shared" si="152"/>
        <v>96479.4911563852</v>
      </c>
      <c r="AT574">
        <f t="shared" si="153"/>
        <v>0.0125</v>
      </c>
      <c r="AW574">
        <v>164.47</v>
      </c>
      <c r="AX574">
        <f t="shared" si="146"/>
        <v>0</v>
      </c>
      <c r="AY574">
        <f t="shared" si="154"/>
        <v>0</v>
      </c>
      <c r="AZ574">
        <f t="shared" si="161"/>
        <v>0</v>
      </c>
      <c r="BA574">
        <f t="shared" si="162"/>
        <v>0</v>
      </c>
      <c r="BB574">
        <f t="shared" si="155"/>
        <v>8867861.29797591</v>
      </c>
      <c r="BC574">
        <f t="shared" si="147"/>
        <v>110848.266224699</v>
      </c>
      <c r="BD574">
        <f t="shared" si="148"/>
        <v>0.0125</v>
      </c>
      <c r="BG574">
        <f t="shared" si="156"/>
        <v>0</v>
      </c>
      <c r="BH574">
        <f t="shared" si="157"/>
        <v>7170079.31508434</v>
      </c>
      <c r="BI574">
        <f t="shared" si="149"/>
        <v>89625.9914385543</v>
      </c>
      <c r="BJ574">
        <f t="shared" si="150"/>
        <v>0.0125</v>
      </c>
    </row>
    <row r="575" spans="39:62">
      <c r="AM575">
        <v>62.91</v>
      </c>
      <c r="AN575">
        <f t="shared" si="151"/>
        <v>0</v>
      </c>
      <c r="AO575">
        <f t="shared" si="158"/>
        <v>0</v>
      </c>
      <c r="AP575">
        <f t="shared" si="159"/>
        <v>0</v>
      </c>
      <c r="AQ575">
        <f t="shared" si="163"/>
        <v>0</v>
      </c>
      <c r="AR575">
        <f t="shared" si="160"/>
        <v>7718359.29251081</v>
      </c>
      <c r="AS575">
        <f t="shared" si="152"/>
        <v>96479.4911563852</v>
      </c>
      <c r="AT575">
        <f t="shared" si="153"/>
        <v>0.0125</v>
      </c>
      <c r="AW575">
        <v>164.13</v>
      </c>
      <c r="AX575">
        <f t="shared" si="146"/>
        <v>0</v>
      </c>
      <c r="AY575">
        <f t="shared" si="154"/>
        <v>0</v>
      </c>
      <c r="AZ575">
        <f t="shared" si="161"/>
        <v>0</v>
      </c>
      <c r="BA575">
        <f t="shared" si="162"/>
        <v>0</v>
      </c>
      <c r="BB575">
        <f t="shared" si="155"/>
        <v>8867861.29797591</v>
      </c>
      <c r="BC575">
        <f t="shared" si="147"/>
        <v>110848.266224699</v>
      </c>
      <c r="BD575">
        <f t="shared" si="148"/>
        <v>0.0125</v>
      </c>
      <c r="BG575">
        <f t="shared" si="156"/>
        <v>0</v>
      </c>
      <c r="BH575">
        <f t="shared" si="157"/>
        <v>7170079.31508434</v>
      </c>
      <c r="BI575">
        <f t="shared" si="149"/>
        <v>89625.9914385543</v>
      </c>
      <c r="BJ575">
        <f t="shared" si="150"/>
        <v>0.0125</v>
      </c>
    </row>
    <row r="576" spans="39:62">
      <c r="AM576">
        <v>63.285</v>
      </c>
      <c r="AN576">
        <f t="shared" si="151"/>
        <v>0</v>
      </c>
      <c r="AO576">
        <f t="shared" si="158"/>
        <v>0</v>
      </c>
      <c r="AP576">
        <f t="shared" si="159"/>
        <v>0</v>
      </c>
      <c r="AQ576">
        <f t="shared" si="163"/>
        <v>0</v>
      </c>
      <c r="AR576">
        <f t="shared" si="160"/>
        <v>7718359.29251081</v>
      </c>
      <c r="AS576">
        <f t="shared" si="152"/>
        <v>96479.4911563852</v>
      </c>
      <c r="AT576">
        <f t="shared" si="153"/>
        <v>0.0125</v>
      </c>
      <c r="AW576">
        <v>164.14</v>
      </c>
      <c r="AX576">
        <f t="shared" si="146"/>
        <v>0</v>
      </c>
      <c r="AY576">
        <f t="shared" si="154"/>
        <v>0</v>
      </c>
      <c r="AZ576">
        <f t="shared" si="161"/>
        <v>0</v>
      </c>
      <c r="BA576">
        <f t="shared" si="162"/>
        <v>0</v>
      </c>
      <c r="BB576">
        <f t="shared" si="155"/>
        <v>8867861.29797591</v>
      </c>
      <c r="BC576">
        <f t="shared" si="147"/>
        <v>110848.266224699</v>
      </c>
      <c r="BD576">
        <f t="shared" si="148"/>
        <v>0.0125</v>
      </c>
      <c r="BG576">
        <f t="shared" si="156"/>
        <v>0</v>
      </c>
      <c r="BH576">
        <f t="shared" si="157"/>
        <v>7170079.31508434</v>
      </c>
      <c r="BI576">
        <f t="shared" si="149"/>
        <v>89625.9914385543</v>
      </c>
      <c r="BJ576">
        <f t="shared" si="150"/>
        <v>0.0125</v>
      </c>
    </row>
    <row r="577" spans="39:62">
      <c r="AM577">
        <v>63.955</v>
      </c>
      <c r="AN577">
        <f t="shared" si="151"/>
        <v>0</v>
      </c>
      <c r="AO577">
        <f t="shared" si="158"/>
        <v>0</v>
      </c>
      <c r="AP577">
        <f t="shared" si="159"/>
        <v>0</v>
      </c>
      <c r="AQ577">
        <f t="shared" si="163"/>
        <v>0</v>
      </c>
      <c r="AR577">
        <f t="shared" si="160"/>
        <v>7718359.29251081</v>
      </c>
      <c r="AS577">
        <f t="shared" si="152"/>
        <v>96479.4911563852</v>
      </c>
      <c r="AT577">
        <f t="shared" si="153"/>
        <v>0.0125</v>
      </c>
      <c r="AW577">
        <v>164.27</v>
      </c>
      <c r="AX577">
        <f t="shared" si="146"/>
        <v>0</v>
      </c>
      <c r="AY577">
        <f t="shared" si="154"/>
        <v>0</v>
      </c>
      <c r="AZ577">
        <f t="shared" si="161"/>
        <v>0</v>
      </c>
      <c r="BA577">
        <f t="shared" si="162"/>
        <v>0</v>
      </c>
      <c r="BB577">
        <f t="shared" si="155"/>
        <v>8867861.29797591</v>
      </c>
      <c r="BC577">
        <f t="shared" si="147"/>
        <v>110848.266224699</v>
      </c>
      <c r="BD577">
        <f t="shared" si="148"/>
        <v>0.0125</v>
      </c>
      <c r="BG577">
        <f t="shared" si="156"/>
        <v>0</v>
      </c>
      <c r="BH577">
        <f t="shared" si="157"/>
        <v>7170079.31508434</v>
      </c>
      <c r="BI577">
        <f t="shared" si="149"/>
        <v>89625.9914385543</v>
      </c>
      <c r="BJ577">
        <f t="shared" si="150"/>
        <v>0.0125</v>
      </c>
    </row>
    <row r="578" spans="39:62">
      <c r="AM578">
        <v>63.65</v>
      </c>
      <c r="AN578">
        <f t="shared" si="151"/>
        <v>0</v>
      </c>
      <c r="AO578">
        <f t="shared" si="158"/>
        <v>0</v>
      </c>
      <c r="AP578">
        <f t="shared" si="159"/>
        <v>0</v>
      </c>
      <c r="AQ578">
        <f t="shared" si="163"/>
        <v>0</v>
      </c>
      <c r="AR578">
        <f t="shared" si="160"/>
        <v>7718359.29251081</v>
      </c>
      <c r="AS578">
        <f t="shared" si="152"/>
        <v>96479.4911563852</v>
      </c>
      <c r="AT578">
        <f t="shared" si="153"/>
        <v>0.0125</v>
      </c>
      <c r="AW578">
        <v>163.96</v>
      </c>
      <c r="AX578">
        <f t="shared" ref="AX578:AX585" si="164">IF(V578&gt;0,AW578*1.01,IF(V578&lt;0,AW578*0.99,0))</f>
        <v>0</v>
      </c>
      <c r="AY578">
        <f t="shared" si="154"/>
        <v>0</v>
      </c>
      <c r="AZ578">
        <f t="shared" si="161"/>
        <v>0</v>
      </c>
      <c r="BA578">
        <f t="shared" si="162"/>
        <v>0</v>
      </c>
      <c r="BB578">
        <f t="shared" si="155"/>
        <v>8867861.29797591</v>
      </c>
      <c r="BC578">
        <f t="shared" ref="BC578:BC585" si="165">BB578*0.2/16</f>
        <v>110848.266224699</v>
      </c>
      <c r="BD578">
        <f t="shared" ref="BD578:BD585" si="166">BC578/BB578</f>
        <v>0.0125</v>
      </c>
      <c r="BG578">
        <f t="shared" si="156"/>
        <v>0</v>
      </c>
      <c r="BH578">
        <f t="shared" si="157"/>
        <v>7170079.31508434</v>
      </c>
      <c r="BI578">
        <f t="shared" ref="BI578:BI585" si="167">BH578*0.2/16</f>
        <v>89625.9914385543</v>
      </c>
      <c r="BJ578">
        <f t="shared" ref="BJ578:BJ585" si="168">BI578/BH578</f>
        <v>0.0125</v>
      </c>
    </row>
    <row r="579" spans="39:62">
      <c r="AM579">
        <v>63.625</v>
      </c>
      <c r="AN579">
        <f t="shared" ref="AN579:AN585" si="169">IF(L579&gt;0,AM579*1.01,IF(L579&lt;0,AM579*0.99,0))</f>
        <v>0</v>
      </c>
      <c r="AO579">
        <f t="shared" si="158"/>
        <v>0</v>
      </c>
      <c r="AP579">
        <f t="shared" si="159"/>
        <v>0</v>
      </c>
      <c r="AQ579">
        <f t="shared" si="163"/>
        <v>0</v>
      </c>
      <c r="AR579">
        <f t="shared" si="160"/>
        <v>7718359.29251081</v>
      </c>
      <c r="AS579">
        <f t="shared" ref="AS579:AS585" si="170">AR579*0.2/16</f>
        <v>96479.4911563852</v>
      </c>
      <c r="AT579">
        <f t="shared" ref="AT579:AT585" si="171">AS579/AR579</f>
        <v>0.0125</v>
      </c>
      <c r="AW579">
        <v>164.25</v>
      </c>
      <c r="AX579">
        <f t="shared" si="164"/>
        <v>0</v>
      </c>
      <c r="AY579">
        <f>IF(AX579&lt;&gt;0,(AW579-AX579)*$BE$2/$BF$2*AA579,0)</f>
        <v>0</v>
      </c>
      <c r="AZ579">
        <f t="shared" si="161"/>
        <v>0</v>
      </c>
      <c r="BA579">
        <f t="shared" si="162"/>
        <v>0</v>
      </c>
      <c r="BB579">
        <f t="shared" ref="BB579:BB585" si="172">BA579+BB578</f>
        <v>8867861.29797591</v>
      </c>
      <c r="BC579">
        <f t="shared" si="165"/>
        <v>110848.266224699</v>
      </c>
      <c r="BD579">
        <f t="shared" si="166"/>
        <v>0.0125</v>
      </c>
      <c r="BG579">
        <f t="shared" ref="BG579:BG585" si="173">AY579+AO579</f>
        <v>0</v>
      </c>
      <c r="BH579">
        <f t="shared" ref="BH579:BH585" si="174">BG579+BH578</f>
        <v>7170079.31508434</v>
      </c>
      <c r="BI579">
        <f t="shared" si="167"/>
        <v>89625.9914385543</v>
      </c>
      <c r="BJ579">
        <f t="shared" si="168"/>
        <v>0.0125</v>
      </c>
    </row>
    <row r="580" spans="39:62">
      <c r="AM580">
        <v>63.055</v>
      </c>
      <c r="AN580">
        <f t="shared" si="169"/>
        <v>0</v>
      </c>
      <c r="AO580">
        <f>IF(AN580&lt;&gt;0,(AM580-AN580)*$AU$2/$AV$2*L580,0)</f>
        <v>0</v>
      </c>
      <c r="AP580">
        <f>(AM580-AM579)*$AU$2/$AV$2*Z579</f>
        <v>0</v>
      </c>
      <c r="AQ580">
        <f t="shared" si="163"/>
        <v>0</v>
      </c>
      <c r="AR580">
        <f t="shared" ref="AR580:AR585" si="175">AQ580+AR579</f>
        <v>7718359.29251081</v>
      </c>
      <c r="AS580">
        <f t="shared" si="170"/>
        <v>96479.4911563852</v>
      </c>
      <c r="AT580">
        <f t="shared" si="171"/>
        <v>0.0125</v>
      </c>
      <c r="AW580">
        <v>164.85</v>
      </c>
      <c r="AX580">
        <f t="shared" si="164"/>
        <v>0</v>
      </c>
      <c r="AY580">
        <f>IF(AX580&lt;&gt;0,(AW580-AX580)*$BE$2/$BF$2*AA580,0)</f>
        <v>0</v>
      </c>
      <c r="AZ580">
        <f>(AW580-AW579)*$BE$2/$BF$2*AC579</f>
        <v>0</v>
      </c>
      <c r="BA580">
        <f t="shared" ref="BA580:BA585" si="176">AY580+AZ580</f>
        <v>0</v>
      </c>
      <c r="BB580">
        <f t="shared" si="172"/>
        <v>8867861.29797591</v>
      </c>
      <c r="BC580">
        <f t="shared" si="165"/>
        <v>110848.266224699</v>
      </c>
      <c r="BD580">
        <f t="shared" si="166"/>
        <v>0.0125</v>
      </c>
      <c r="BG580">
        <f t="shared" si="173"/>
        <v>0</v>
      </c>
      <c r="BH580">
        <f t="shared" si="174"/>
        <v>7170079.31508434</v>
      </c>
      <c r="BI580">
        <f t="shared" si="167"/>
        <v>89625.9914385543</v>
      </c>
      <c r="BJ580">
        <f t="shared" si="168"/>
        <v>0.0125</v>
      </c>
    </row>
    <row r="581" spans="39:62">
      <c r="AM581">
        <v>62.795</v>
      </c>
      <c r="AN581">
        <f t="shared" si="169"/>
        <v>0</v>
      </c>
      <c r="AO581">
        <f>IF(AN581&lt;&gt;0,(AM581-AN581)*$AU$2/$AV$2*L581,0)</f>
        <v>0</v>
      </c>
      <c r="AP581">
        <f>(AM581-AM580)*$AU$2/$AV$2*Z580</f>
        <v>0</v>
      </c>
      <c r="AQ581">
        <f>AO581+AP581</f>
        <v>0</v>
      </c>
      <c r="AR581">
        <f t="shared" si="175"/>
        <v>7718359.29251081</v>
      </c>
      <c r="AS581">
        <f t="shared" si="170"/>
        <v>96479.4911563852</v>
      </c>
      <c r="AT581">
        <f t="shared" si="171"/>
        <v>0.0125</v>
      </c>
      <c r="AW581">
        <v>165.74</v>
      </c>
      <c r="AX581">
        <f t="shared" si="164"/>
        <v>0</v>
      </c>
      <c r="AY581">
        <f>IF(AX581&lt;&gt;0,(AW581-AX581)*$BE$2/$BF$2*AA581,0)</f>
        <v>0</v>
      </c>
      <c r="AZ581">
        <f>(AW581-AW580)*$BE$2/$BF$2*AC580</f>
        <v>0</v>
      </c>
      <c r="BA581">
        <f t="shared" si="176"/>
        <v>0</v>
      </c>
      <c r="BB581">
        <f t="shared" si="172"/>
        <v>8867861.29797591</v>
      </c>
      <c r="BC581">
        <f t="shared" si="165"/>
        <v>110848.266224699</v>
      </c>
      <c r="BD581">
        <f t="shared" si="166"/>
        <v>0.0125</v>
      </c>
      <c r="BG581">
        <f t="shared" si="173"/>
        <v>0</v>
      </c>
      <c r="BH581">
        <f t="shared" si="174"/>
        <v>7170079.31508434</v>
      </c>
      <c r="BI581">
        <f t="shared" si="167"/>
        <v>89625.9914385543</v>
      </c>
      <c r="BJ581">
        <f t="shared" si="168"/>
        <v>0.0125</v>
      </c>
    </row>
    <row r="582" spans="39:62">
      <c r="AM582">
        <v>62.88</v>
      </c>
      <c r="AN582">
        <f t="shared" si="169"/>
        <v>0</v>
      </c>
      <c r="AO582">
        <f>IF(AN582&lt;&gt;0,(AM582-AN582)*$AU$2/$AV$2*L582,0)</f>
        <v>0</v>
      </c>
      <c r="AP582">
        <f>(AM582-AM581)*$AU$2/$AV$2*Z581</f>
        <v>0</v>
      </c>
      <c r="AQ582">
        <f>AO582+AP582</f>
        <v>0</v>
      </c>
      <c r="AR582">
        <f t="shared" si="175"/>
        <v>7718359.29251081</v>
      </c>
      <c r="AS582">
        <f t="shared" si="170"/>
        <v>96479.4911563852</v>
      </c>
      <c r="AT582">
        <f t="shared" si="171"/>
        <v>0.0125</v>
      </c>
      <c r="AW582">
        <v>165.66</v>
      </c>
      <c r="AX582">
        <f t="shared" si="164"/>
        <v>0</v>
      </c>
      <c r="AY582">
        <f>IF(AX582&lt;&gt;0,(AW582-AX582)*$BE$2/$BF$2*AA582,0)</f>
        <v>0</v>
      </c>
      <c r="AZ582">
        <f>(AW582-AW581)*$BE$2/$BF$2*AC581</f>
        <v>0</v>
      </c>
      <c r="BA582">
        <f t="shared" si="176"/>
        <v>0</v>
      </c>
      <c r="BB582">
        <f t="shared" si="172"/>
        <v>8867861.29797591</v>
      </c>
      <c r="BC582">
        <f t="shared" si="165"/>
        <v>110848.266224699</v>
      </c>
      <c r="BD582">
        <f t="shared" si="166"/>
        <v>0.0125</v>
      </c>
      <c r="BG582">
        <f t="shared" si="173"/>
        <v>0</v>
      </c>
      <c r="BH582">
        <f t="shared" si="174"/>
        <v>7170079.31508434</v>
      </c>
      <c r="BI582">
        <f t="shared" si="167"/>
        <v>89625.9914385543</v>
      </c>
      <c r="BJ582">
        <f t="shared" si="168"/>
        <v>0.0125</v>
      </c>
    </row>
    <row r="583" spans="39:62">
      <c r="AM583">
        <v>63.03</v>
      </c>
      <c r="AN583">
        <f t="shared" si="169"/>
        <v>0</v>
      </c>
      <c r="AO583">
        <f>IF(AN583&lt;&gt;0,(AM583-AN583)*$AU$2/$AV$2*L583,0)</f>
        <v>0</v>
      </c>
      <c r="AP583">
        <f>(AM583-AM582)*$AU$2/$AV$2*Z582</f>
        <v>0</v>
      </c>
      <c r="AQ583">
        <f>AO583+AP583</f>
        <v>0</v>
      </c>
      <c r="AR583">
        <f t="shared" si="175"/>
        <v>7718359.29251081</v>
      </c>
      <c r="AS583">
        <f t="shared" si="170"/>
        <v>96479.4911563852</v>
      </c>
      <c r="AT583">
        <f t="shared" si="171"/>
        <v>0.0125</v>
      </c>
      <c r="AW583">
        <v>63.03</v>
      </c>
      <c r="AX583">
        <f t="shared" si="164"/>
        <v>0</v>
      </c>
      <c r="AY583">
        <f>IF(AX583&lt;&gt;0,(AW583-AX583)*$BE$2/$BF$2*AA583,0)</f>
        <v>0</v>
      </c>
      <c r="AZ583">
        <f>(AW583-AW582)*$BE$2/$BF$2*AC582</f>
        <v>0</v>
      </c>
      <c r="BA583">
        <f t="shared" si="176"/>
        <v>0</v>
      </c>
      <c r="BB583">
        <f t="shared" si="172"/>
        <v>8867861.29797591</v>
      </c>
      <c r="BC583">
        <f t="shared" si="165"/>
        <v>110848.266224699</v>
      </c>
      <c r="BD583">
        <f t="shared" si="166"/>
        <v>0.0125</v>
      </c>
      <c r="BG583">
        <f t="shared" si="173"/>
        <v>0</v>
      </c>
      <c r="BH583">
        <f t="shared" si="174"/>
        <v>7170079.31508434</v>
      </c>
      <c r="BI583">
        <f t="shared" si="167"/>
        <v>89625.9914385543</v>
      </c>
      <c r="BJ583">
        <f t="shared" si="168"/>
        <v>0.0125</v>
      </c>
    </row>
    <row r="584" spans="39:62">
      <c r="AM584">
        <v>62.915</v>
      </c>
      <c r="AN584">
        <f t="shared" si="169"/>
        <v>0</v>
      </c>
      <c r="AO584">
        <f>IF(AN584&lt;&gt;0,(AM584-AN584)*$AU$2/$AV$2*L584,0)</f>
        <v>0</v>
      </c>
      <c r="AP584">
        <f>(AM584-AM583)*$AU$2/$AV$2*Z583</f>
        <v>0</v>
      </c>
      <c r="AQ584">
        <f>AO584+AP584</f>
        <v>0</v>
      </c>
      <c r="AR584">
        <f t="shared" si="175"/>
        <v>7718359.29251081</v>
      </c>
      <c r="AS584">
        <f t="shared" si="170"/>
        <v>96479.4911563852</v>
      </c>
      <c r="AT584">
        <f t="shared" si="171"/>
        <v>0.0125</v>
      </c>
      <c r="AW584">
        <v>62.915</v>
      </c>
      <c r="AX584">
        <f t="shared" si="164"/>
        <v>0</v>
      </c>
      <c r="AY584">
        <f>IF(AX584&lt;&gt;0,(AW584-AX584)*$BE$2/$BF$2*AA584,0)</f>
        <v>0</v>
      </c>
      <c r="AZ584">
        <f>(AW584-AW583)*$BE$2/$BF$2*AC583</f>
        <v>0</v>
      </c>
      <c r="BA584">
        <f t="shared" si="176"/>
        <v>0</v>
      </c>
      <c r="BB584">
        <f t="shared" si="172"/>
        <v>8867861.29797591</v>
      </c>
      <c r="BC584">
        <f t="shared" si="165"/>
        <v>110848.266224699</v>
      </c>
      <c r="BD584">
        <f t="shared" si="166"/>
        <v>0.0125</v>
      </c>
      <c r="BG584">
        <f t="shared" si="173"/>
        <v>0</v>
      </c>
      <c r="BH584">
        <f t="shared" si="174"/>
        <v>7170079.31508434</v>
      </c>
      <c r="BI584">
        <f t="shared" si="167"/>
        <v>89625.9914385543</v>
      </c>
      <c r="BJ584">
        <f t="shared" si="168"/>
        <v>0.0125</v>
      </c>
    </row>
    <row r="585" spans="39:62">
      <c r="AM585">
        <v>63.04</v>
      </c>
      <c r="AN585">
        <f t="shared" si="169"/>
        <v>0</v>
      </c>
      <c r="AO585">
        <f>IF(AN585&lt;&gt;0,(AM585-AN585)*$AU$2/$AV$2*L585,0)</f>
        <v>0</v>
      </c>
      <c r="AP585">
        <f>(AM585-AM584)*$AU$2/$AV$2*Z584</f>
        <v>0</v>
      </c>
      <c r="AQ585">
        <f>AO585+AP585</f>
        <v>0</v>
      </c>
      <c r="AR585">
        <f t="shared" si="175"/>
        <v>7718359.29251081</v>
      </c>
      <c r="AS585">
        <f t="shared" si="170"/>
        <v>96479.4911563852</v>
      </c>
      <c r="AT585">
        <f t="shared" si="171"/>
        <v>0.0125</v>
      </c>
      <c r="AW585">
        <v>63.04</v>
      </c>
      <c r="AX585">
        <f t="shared" si="164"/>
        <v>0</v>
      </c>
      <c r="AY585">
        <f>IF(AX585&lt;&gt;0,(AW585-AX585)*$BE$2/$BF$2*AA585,0)</f>
        <v>0</v>
      </c>
      <c r="AZ585">
        <f>(AW585-AW584)*$BE$2/$BF$2*AC584</f>
        <v>0</v>
      </c>
      <c r="BA585">
        <f t="shared" si="176"/>
        <v>0</v>
      </c>
      <c r="BB585">
        <f t="shared" si="172"/>
        <v>8867861.29797591</v>
      </c>
      <c r="BC585">
        <f t="shared" si="165"/>
        <v>110848.266224699</v>
      </c>
      <c r="BD585">
        <f t="shared" si="166"/>
        <v>0.0125</v>
      </c>
      <c r="BG585">
        <f t="shared" si="173"/>
        <v>0</v>
      </c>
      <c r="BH585">
        <f t="shared" si="174"/>
        <v>7170079.31508434</v>
      </c>
      <c r="BI585">
        <f t="shared" si="167"/>
        <v>89625.9914385543</v>
      </c>
      <c r="BJ585">
        <f t="shared" si="168"/>
        <v>0.0125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Cingolani</cp:lastModifiedBy>
  <dcterms:created xsi:type="dcterms:W3CDTF">2025-05-12T16:20:00Z</dcterms:created>
  <dcterms:modified xsi:type="dcterms:W3CDTF">2025-05-15T13:01:11Z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F4D88FDD18DA44B18D30F5F5D31917D0_13</vt:lpwstr>
  </property>
  <property fmtid="{D5CDD505-2E9C-101B-9397-08002B2CF9AE}" pid="3" name="KSOProductBuildVer">
    <vt:lpwstr>2057-12.2.0.20796</vt:lpwstr>
  </property>
</Properties>
</file>