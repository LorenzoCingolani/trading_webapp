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fib_buy_sell" sheetId="1" r:id="rId1"/>
    <sheet name="fib_result_df_fu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<sst xmlns="http://schemas.openxmlformats.org/spreadsheetml/2006/main" count="1505" uniqueCount="151">
  <si>
    <t>Week 1 — Friday 1993-01-08 — Signal=buy — INSUFFICIENT PREV-WEEK DATA</t>
  </si>
  <si>
    <t>high:</t>
  </si>
  <si>
    <t>329.5,</t>
  </si>
  <si>
    <t>330.4,</t>
  </si>
  <si>
    <t>329.7,</t>
  </si>
  <si>
    <t>329.8,</t>
  </si>
  <si>
    <t>328.9,</t>
  </si>
  <si>
    <t>330.7,</t>
  </si>
  <si>
    <t>328.5,</t>
  </si>
  <si>
    <t>328.0,</t>
  </si>
  <si>
    <t>328.2,</t>
  </si>
  <si>
    <t>329.4,</t>
  </si>
  <si>
    <t>330.3,</t>
  </si>
  <si>
    <t>329.1,</t>
  </si>
  <si>
    <t>331.5,</t>
  </si>
  <si>
    <t>331.6,</t>
  </si>
  <si>
    <t>331.2,</t>
  </si>
  <si>
    <t>333.0,</t>
  </si>
  <si>
    <t>331.1,</t>
  </si>
  <si>
    <t>330.2,</t>
  </si>
  <si>
    <t>329.3,</t>
  </si>
  <si>
    <t>333.8,</t>
  </si>
  <si>
    <t>334.6,</t>
  </si>
  <si>
    <t>331.8,</t>
  </si>
  <si>
    <t>334.4,</t>
  </si>
  <si>
    <t>332.9,</t>
  </si>
  <si>
    <t>332.8,</t>
  </si>
  <si>
    <t>332.5,</t>
  </si>
  <si>
    <t>332.0,</t>
  </si>
  <si>
    <t>331.9,</t>
  </si>
  <si>
    <t>332.2,</t>
  </si>
  <si>
    <t>331.4,</t>
  </si>
  <si>
    <t>330.9,</t>
  </si>
  <si>
    <t>331.3,</t>
  </si>
  <si>
    <t>327.7,</t>
  </si>
  <si>
    <t>328.0]</t>
  </si>
  <si>
    <t>prev_week_partial</t>
  </si>
  <si>
    <t>date</t>
  </si>
  <si>
    <t>high</t>
  </si>
  <si>
    <t>low</t>
  </si>
  <si>
    <t>low:</t>
  </si>
  <si>
    <t xml:space="preserve"> 326.8]</t>
  </si>
  <si>
    <t>close</t>
  </si>
  <si>
    <t xml:space="preserve"> 327.6] </t>
  </si>
  <si>
    <t>Week 2 — Friday 1993-01-15 — Signal=sell — Levels from PREV week</t>
  </si>
  <si>
    <t>meta</t>
  </si>
  <si>
    <t>prev_week_start</t>
  </si>
  <si>
    <t>prev_week_end</t>
  </si>
  <si>
    <t>weekly_high</t>
  </si>
  <si>
    <t>weekly_low</t>
  </si>
  <si>
    <t>levels_monday</t>
  </si>
  <si>
    <t>friday_date</t>
  </si>
  <si>
    <t>friday_signal</t>
  </si>
  <si>
    <t>sell</t>
  </si>
  <si>
    <t>prev_week_df (levels source)</t>
  </si>
  <si>
    <t>main_bucket_df</t>
  </si>
  <si>
    <t>main_level</t>
  </si>
  <si>
    <t>sub_bucket_df</t>
  </si>
  <si>
    <t>sub_bucket_1</t>
  </si>
  <si>
    <t>sub_bucket_2</t>
  </si>
  <si>
    <t>sub_bucket_3</t>
  </si>
  <si>
    <t>sub_bucket_4</t>
  </si>
  <si>
    <t>sub_bucket_5</t>
  </si>
  <si>
    <t>sub_bucket_6</t>
  </si>
  <si>
    <t>next_week_df (trade window)</t>
  </si>
  <si>
    <t>fib_result_df</t>
  </si>
  <si>
    <t>action_run</t>
  </si>
  <si>
    <t>levels_from_week_start</t>
  </si>
  <si>
    <t>levels_from_week_end</t>
  </si>
  <si>
    <t>trade_week_start</t>
  </si>
  <si>
    <t>trade_week_end</t>
  </si>
  <si>
    <t>action</t>
  </si>
  <si>
    <t>unit</t>
  </si>
  <si>
    <t>sub_unit</t>
  </si>
  <si>
    <t>unit_value</t>
  </si>
  <si>
    <t>day1</t>
  </si>
  <si>
    <t>day2</t>
  </si>
  <si>
    <t>day3</t>
  </si>
  <si>
    <t>day4</t>
  </si>
  <si>
    <t>day5</t>
  </si>
  <si>
    <t>day6</t>
  </si>
  <si>
    <t>day7</t>
  </si>
  <si>
    <t>pnl_point</t>
  </si>
  <si>
    <t/>
  </si>
  <si>
    <t>sell_triggered_329.0192_buyback_profit_1</t>
  </si>
  <si>
    <t>trade_closed</t>
  </si>
  <si>
    <t>sell_triggered_328.5_buyback_profit_2_1</t>
  </si>
  <si>
    <t>sell_triggered</t>
  </si>
  <si>
    <t>trade_not_closed</t>
  </si>
  <si>
    <t>sell_triggered_327.2416_buyback_profit_3_1</t>
  </si>
  <si>
    <t>329.0192 stop_loss_3_2</t>
  </si>
  <si>
    <t>sell_triggered_327.9808_stop_loss_4</t>
  </si>
  <si>
    <t>levels_df</t>
  </si>
  <si>
    <t>name</t>
  </si>
  <si>
    <t>entry</t>
  </si>
  <si>
    <t>take_profit</t>
  </si>
  <si>
    <t>stop_loss</t>
  </si>
  <si>
    <t>u1_1</t>
  </si>
  <si>
    <t>u2_2_1</t>
  </si>
  <si>
    <t>u2_2_2</t>
  </si>
  <si>
    <t>u3_2_1</t>
  </si>
  <si>
    <t>u3_2_2</t>
  </si>
  <si>
    <t>u1_4</t>
  </si>
  <si>
    <t>Week 3 — Friday 1993-01-22 — Signal=buy — Levels from PREV week</t>
  </si>
  <si>
    <t>buy</t>
  </si>
  <si>
    <t>buy_triggered_328.552532_stop_loss_1</t>
  </si>
  <si>
    <t>buy_triggered_328.552532_stop_loss_2_1</t>
  </si>
  <si>
    <t>buy_triggered</t>
  </si>
  <si>
    <t>331.226 sell_profit_2_2</t>
  </si>
  <si>
    <t>329.57399999999996 sell_profit_3_1</t>
  </si>
  <si>
    <t>buy_triggered_329.063_sell_profit_3_2</t>
  </si>
  <si>
    <t>Week 4 — Friday 1993-01-29 — Signal=buy — Levels from PREV week</t>
  </si>
  <si>
    <t>329.8053168 stop_loss_1</t>
  </si>
  <si>
    <t>329.8053168 stop_loss_2_1</t>
  </si>
  <si>
    <t>329.3639968 stop_loss_2_2</t>
  </si>
  <si>
    <t>328.5638 stop_loss_3_1</t>
  </si>
  <si>
    <t>328.5638 stop_loss_3_2</t>
  </si>
  <si>
    <t>Week 5 — Friday 1993-02-05 — Signal=buy — Levels from PREV week</t>
  </si>
  <si>
    <t>buy_triggered_330.624684_stop_loss_1</t>
  </si>
  <si>
    <t>buy_triggered_330.624684_stop_loss_2_1</t>
  </si>
  <si>
    <t>buy_triggered_330.040584_stop_loss_2_2</t>
  </si>
  <si>
    <t>buy_triggered_328.9815_stop_loss_3_1</t>
  </si>
  <si>
    <t>buy_triggered_328.9815_stop_loss_3_2</t>
  </si>
  <si>
    <t>buy_triggered_328.5_stop_loss_4</t>
  </si>
  <si>
    <t>Week 6 — Friday 1993-02-12 — Signal=buy — Levels from PREV week</t>
  </si>
  <si>
    <t>buy_triggered_331.27455760000004_stop_loss_1</t>
  </si>
  <si>
    <t>buy_triggered_331.27455760000004_stop_loss_2_1</t>
  </si>
  <si>
    <t>buy_triggered_330.4568176_stop_loss_2_2</t>
  </si>
  <si>
    <t>buy_triggered_328.9741_stop_loss_3_1</t>
  </si>
  <si>
    <t>buy_triggered_328.9741_stop_loss_3_2</t>
  </si>
  <si>
    <t>buy_triggered_331.45000000000005_sell_profit_4</t>
  </si>
  <si>
    <t>Week 7 — Friday 1993-02-19 — Signal=buy — Levels from PREV week</t>
  </si>
  <si>
    <t>buy_triggered_331.4440512_stop_loss_1</t>
  </si>
  <si>
    <t>buy_triggered_331.4440512_stop_loss_2_1</t>
  </si>
  <si>
    <t>buy_triggered_330.7171712_stop_loss_2_2</t>
  </si>
  <si>
    <t>buy_triggered_329.3992_stop_loss_3_1</t>
  </si>
  <si>
    <t>buy_triggered_329.3992_stop_loss_3_2</t>
  </si>
  <si>
    <t>buy_triggered_331.6_sell_profit_4</t>
  </si>
  <si>
    <t>Week 8 — Friday 1993-02-26 — Signal=sell — Levels from PREV week</t>
  </si>
  <si>
    <t>sell_triggered_330.6_buyback_profit_2_1</t>
  </si>
  <si>
    <t>sell_triggered_329.5132_buyback_profit_3_1</t>
  </si>
  <si>
    <t>328.7 buyback_profit_3_2</t>
  </si>
  <si>
    <t>330.1516 stop_loss_4</t>
  </si>
  <si>
    <t>Week 9 — Friday 1993-03-05 — Signal=sell — INSUFFICIENT NEXT-WEEK DATA</t>
  </si>
  <si>
    <t>prev_week_df (used for levels)</t>
  </si>
  <si>
    <t>next_week_partial</t>
  </si>
  <si>
    <t>daily_df (all) — appended</t>
  </si>
  <si>
    <t>ewma_5</t>
  </si>
  <si>
    <t>ewma_20</t>
  </si>
  <si>
    <t>signal</t>
  </si>
  <si>
    <t>pnl_sharp_ratio_value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</si>
</sst>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  <numFmt numFmtId="177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29"/>
  <sheetViews>
    <sheetView tabSelected="1" topLeftCell="C1" workbookViewId="0">
      <selection activeCell="L15" sqref="L15"/>
    </sheetView>
  </sheetViews>
  <sheetFormatPr defaultColWidth="9" defaultRowHeight="14.5"/>
  <cols>
    <col min="1" max="1" width="30.9090909090909" customWidth="1"/>
    <col min="4" max="4" width="11" customWidth="1"/>
  </cols>
  <sheetData>
    <row r="1" spans="1:1">
      <c r="A1" s="1" t="s">
        <v>0</v>
      </c>
    </row>
    <row r="2" spans="1:58">
      <c r="A2" t="s">
        <v>0</v>
      </c>
      <c r="I2" t="s">
        <v>1</v>
      </c>
      <c r="J2">
        <v>329.4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8</v>
      </c>
      <c r="S2" t="s">
        <v>9</v>
      </c>
      <c r="T2" t="s">
        <v>10</v>
      </c>
      <c r="U2" t="s">
        <v>11</v>
      </c>
      <c r="V2" t="s">
        <v>3</v>
      </c>
      <c r="W2" t="s">
        <v>12</v>
      </c>
      <c r="X2" t="s">
        <v>4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16</v>
      </c>
      <c r="AE2" t="s">
        <v>18</v>
      </c>
      <c r="AF2" t="s">
        <v>19</v>
      </c>
      <c r="AG2" t="s">
        <v>20</v>
      </c>
      <c r="AH2" t="s">
        <v>20</v>
      </c>
      <c r="AI2" t="s">
        <v>11</v>
      </c>
      <c r="AJ2" t="s">
        <v>5</v>
      </c>
      <c r="AK2" t="s">
        <v>21</v>
      </c>
      <c r="AL2" t="s">
        <v>22</v>
      </c>
      <c r="AM2" t="s">
        <v>23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29</v>
      </c>
      <c r="AU2" t="s">
        <v>30</v>
      </c>
      <c r="AV2" t="s">
        <v>31</v>
      </c>
      <c r="AW2" t="s">
        <v>5</v>
      </c>
      <c r="AX2" t="s">
        <v>5</v>
      </c>
      <c r="AY2" t="s">
        <v>7</v>
      </c>
      <c r="AZ2" t="s">
        <v>32</v>
      </c>
      <c r="BA2" t="s">
        <v>4</v>
      </c>
      <c r="BB2" t="s">
        <v>33</v>
      </c>
      <c r="BC2" t="s">
        <v>2</v>
      </c>
      <c r="BD2" t="s">
        <v>10</v>
      </c>
      <c r="BE2" t="s">
        <v>34</v>
      </c>
      <c r="BF2" t="s">
        <v>35</v>
      </c>
    </row>
    <row r="3" spans="1:1">
      <c r="A3" s="1" t="s">
        <v>36</v>
      </c>
    </row>
    <row r="4" spans="1:58">
      <c r="A4" s="1" t="s">
        <v>37</v>
      </c>
      <c r="B4" s="1" t="s">
        <v>38</v>
      </c>
      <c r="C4" s="1" t="s">
        <v>39</v>
      </c>
      <c r="I4" t="s">
        <v>1</v>
      </c>
      <c r="J4">
        <v>329.4</v>
      </c>
      <c r="K4">
        <v>329.5</v>
      </c>
      <c r="L4">
        <v>330.4</v>
      </c>
      <c r="M4">
        <v>329.7</v>
      </c>
      <c r="N4">
        <v>329.8</v>
      </c>
      <c r="O4">
        <v>328.9</v>
      </c>
      <c r="P4">
        <v>330.7</v>
      </c>
      <c r="Q4">
        <v>328.5</v>
      </c>
      <c r="R4">
        <v>328.5</v>
      </c>
      <c r="S4">
        <v>328</v>
      </c>
      <c r="T4">
        <v>328.2</v>
      </c>
      <c r="U4">
        <v>329.4</v>
      </c>
      <c r="V4">
        <v>330.4</v>
      </c>
      <c r="W4">
        <v>330.3</v>
      </c>
      <c r="X4">
        <v>329.7</v>
      </c>
      <c r="Y4">
        <v>329.1</v>
      </c>
      <c r="Z4">
        <v>331.5</v>
      </c>
      <c r="AA4">
        <v>331.6</v>
      </c>
      <c r="AB4">
        <v>331.2</v>
      </c>
      <c r="AC4">
        <v>333</v>
      </c>
      <c r="AD4">
        <v>331.2</v>
      </c>
      <c r="AE4">
        <v>331.1</v>
      </c>
      <c r="AF4">
        <v>330.2</v>
      </c>
      <c r="AG4">
        <v>329.3</v>
      </c>
      <c r="AH4">
        <v>329.3</v>
      </c>
      <c r="AI4">
        <v>329.4</v>
      </c>
      <c r="AJ4">
        <v>329.8</v>
      </c>
      <c r="AK4">
        <v>333.8</v>
      </c>
      <c r="AL4">
        <v>334.6</v>
      </c>
      <c r="AM4">
        <v>331.8</v>
      </c>
      <c r="AN4">
        <v>331.8</v>
      </c>
      <c r="AO4">
        <v>334.4</v>
      </c>
      <c r="AP4" t="s">
        <v>25</v>
      </c>
      <c r="AQ4">
        <v>332.8</v>
      </c>
      <c r="AR4">
        <v>332.5</v>
      </c>
      <c r="AS4">
        <v>332</v>
      </c>
      <c r="AT4">
        <v>331.9</v>
      </c>
      <c r="AU4">
        <v>332.2</v>
      </c>
      <c r="AV4">
        <v>331.4</v>
      </c>
      <c r="AW4">
        <v>329.8</v>
      </c>
      <c r="AX4">
        <v>329.8</v>
      </c>
      <c r="AY4">
        <v>330.7</v>
      </c>
      <c r="AZ4">
        <v>330.9</v>
      </c>
      <c r="BA4">
        <v>329.7</v>
      </c>
      <c r="BB4">
        <v>331.3</v>
      </c>
      <c r="BC4">
        <v>329.5</v>
      </c>
      <c r="BD4">
        <v>328.2</v>
      </c>
      <c r="BE4">
        <v>327.7</v>
      </c>
      <c r="BF4">
        <v>328</v>
      </c>
    </row>
    <row r="5" spans="1:3">
      <c r="A5" s="3">
        <v>33973</v>
      </c>
      <c r="B5">
        <v>329.4</v>
      </c>
      <c r="C5">
        <v>326.5</v>
      </c>
    </row>
    <row r="6" spans="1:58">
      <c r="A6" s="3">
        <v>33974</v>
      </c>
      <c r="B6">
        <v>329.5</v>
      </c>
      <c r="C6">
        <v>328.5</v>
      </c>
      <c r="I6" t="s">
        <v>40</v>
      </c>
      <c r="J6">
        <v>326.5</v>
      </c>
      <c r="K6">
        <v>328.5</v>
      </c>
      <c r="L6">
        <v>329.2</v>
      </c>
      <c r="M6">
        <v>328.4</v>
      </c>
      <c r="N6">
        <v>328.8</v>
      </c>
      <c r="O6">
        <v>326.9</v>
      </c>
      <c r="P6">
        <v>328.1</v>
      </c>
      <c r="Q6">
        <v>326.3</v>
      </c>
      <c r="R6">
        <v>326.9</v>
      </c>
      <c r="S6">
        <v>326.9</v>
      </c>
      <c r="T6">
        <v>326.9</v>
      </c>
      <c r="U6">
        <v>328.4</v>
      </c>
      <c r="V6">
        <v>328.2</v>
      </c>
      <c r="W6">
        <v>328.9</v>
      </c>
      <c r="X6">
        <v>328.5</v>
      </c>
      <c r="Y6">
        <v>328.2</v>
      </c>
      <c r="Z6">
        <v>329.3</v>
      </c>
      <c r="AA6">
        <v>330.3</v>
      </c>
      <c r="AB6">
        <v>330.4</v>
      </c>
      <c r="AC6">
        <v>330.6</v>
      </c>
      <c r="AD6">
        <v>330.1</v>
      </c>
      <c r="AE6">
        <v>330</v>
      </c>
      <c r="AF6">
        <v>329.1</v>
      </c>
      <c r="AG6">
        <v>328.5</v>
      </c>
      <c r="AH6">
        <v>328.6</v>
      </c>
      <c r="AI6">
        <v>328.3</v>
      </c>
      <c r="AJ6">
        <v>329</v>
      </c>
      <c r="AK6">
        <v>330.3</v>
      </c>
      <c r="AL6">
        <v>332.2</v>
      </c>
      <c r="AM6">
        <v>328.8</v>
      </c>
      <c r="AN6">
        <v>328.8</v>
      </c>
      <c r="AO6">
        <v>330.5</v>
      </c>
      <c r="AP6">
        <v>330.8</v>
      </c>
      <c r="AQ6">
        <v>329.8</v>
      </c>
      <c r="AR6">
        <v>330.8</v>
      </c>
      <c r="AS6">
        <v>328.7</v>
      </c>
      <c r="AT6">
        <v>330.2</v>
      </c>
      <c r="AU6">
        <v>330.1</v>
      </c>
      <c r="AV6">
        <v>330.3</v>
      </c>
      <c r="AW6">
        <v>327.8</v>
      </c>
      <c r="AX6">
        <v>329.1</v>
      </c>
      <c r="AY6">
        <v>329.5</v>
      </c>
      <c r="AZ6">
        <v>329.5</v>
      </c>
      <c r="BA6">
        <v>328.6</v>
      </c>
      <c r="BB6">
        <v>330.2</v>
      </c>
      <c r="BC6">
        <v>327</v>
      </c>
      <c r="BD6">
        <v>326.6</v>
      </c>
      <c r="BE6">
        <v>325.8</v>
      </c>
      <c r="BF6" t="s">
        <v>41</v>
      </c>
    </row>
    <row r="7" spans="1:3">
      <c r="A7" s="3">
        <v>33975</v>
      </c>
      <c r="B7">
        <v>330.4</v>
      </c>
      <c r="C7">
        <v>329.2</v>
      </c>
    </row>
    <row r="8" spans="1:58">
      <c r="A8" s="3">
        <v>33976</v>
      </c>
      <c r="B8">
        <v>329.7</v>
      </c>
      <c r="C8">
        <v>328.4</v>
      </c>
      <c r="I8" t="s">
        <v>42</v>
      </c>
      <c r="J8">
        <v>328.4</v>
      </c>
      <c r="K8">
        <v>329</v>
      </c>
      <c r="L8">
        <v>330.1</v>
      </c>
      <c r="M8">
        <v>329</v>
      </c>
      <c r="N8">
        <v>329.5</v>
      </c>
      <c r="O8">
        <v>327.8</v>
      </c>
      <c r="P8">
        <v>328.8</v>
      </c>
      <c r="Q8">
        <v>327.6</v>
      </c>
      <c r="R8">
        <v>327.3</v>
      </c>
      <c r="S8">
        <v>327</v>
      </c>
      <c r="T8">
        <v>328</v>
      </c>
      <c r="U8">
        <v>328.6</v>
      </c>
      <c r="V8">
        <v>329.8</v>
      </c>
      <c r="W8">
        <v>329.3</v>
      </c>
      <c r="X8">
        <v>328.6</v>
      </c>
      <c r="Y8">
        <v>328.8</v>
      </c>
      <c r="Z8">
        <v>331.1</v>
      </c>
      <c r="AA8">
        <v>330.4</v>
      </c>
      <c r="AB8">
        <v>331.1</v>
      </c>
      <c r="AC8">
        <v>330.7</v>
      </c>
      <c r="AD8">
        <v>330.7</v>
      </c>
      <c r="AE8">
        <v>330.6</v>
      </c>
      <c r="AF8">
        <v>329.5</v>
      </c>
      <c r="AG8">
        <v>329.2</v>
      </c>
      <c r="AH8">
        <v>328.9</v>
      </c>
      <c r="AI8">
        <v>329.1</v>
      </c>
      <c r="AJ8">
        <v>329.6</v>
      </c>
      <c r="AK8">
        <v>333.7</v>
      </c>
      <c r="AL8">
        <v>332.7</v>
      </c>
      <c r="AM8">
        <v>332.7</v>
      </c>
      <c r="AN8">
        <v>330</v>
      </c>
      <c r="AO8">
        <v>333.4</v>
      </c>
      <c r="AP8">
        <v>331.5</v>
      </c>
      <c r="AQ8">
        <v>331.5</v>
      </c>
      <c r="AR8">
        <v>331</v>
      </c>
      <c r="AS8">
        <v>328.8</v>
      </c>
      <c r="AT8">
        <v>331.6</v>
      </c>
      <c r="AU8">
        <v>330.4</v>
      </c>
      <c r="AV8">
        <v>330.6</v>
      </c>
      <c r="AW8">
        <v>329</v>
      </c>
      <c r="AX8">
        <v>329.3</v>
      </c>
      <c r="AY8">
        <v>330.5</v>
      </c>
      <c r="AZ8">
        <v>329.7</v>
      </c>
      <c r="BA8">
        <v>329.6</v>
      </c>
      <c r="BB8">
        <v>330.4</v>
      </c>
      <c r="BC8">
        <v>327.7</v>
      </c>
      <c r="BD8">
        <v>327.2</v>
      </c>
      <c r="BE8">
        <v>326.9</v>
      </c>
      <c r="BF8" t="s">
        <v>43</v>
      </c>
    </row>
    <row r="9" spans="1:1">
      <c r="A9" s="1" t="s">
        <v>44</v>
      </c>
    </row>
    <row r="10" spans="1:1">
      <c r="A10" t="s">
        <v>44</v>
      </c>
    </row>
    <row r="11" spans="1:1">
      <c r="A11" s="1" t="s">
        <v>45</v>
      </c>
    </row>
    <row r="12" spans="1:7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52</v>
      </c>
    </row>
    <row r="13" spans="1:7">
      <c r="A13" s="2">
        <v>33977</v>
      </c>
      <c r="B13" s="2">
        <v>33983</v>
      </c>
      <c r="C13">
        <v>330.7</v>
      </c>
      <c r="D13">
        <v>326.3</v>
      </c>
      <c r="E13" s="2">
        <v>33977</v>
      </c>
      <c r="F13" s="2">
        <v>33984</v>
      </c>
      <c r="G13" t="s">
        <v>53</v>
      </c>
    </row>
    <row r="14" spans="1:1">
      <c r="A14" s="1" t="s">
        <v>54</v>
      </c>
    </row>
    <row r="15" spans="1:3">
      <c r="A15" s="1" t="s">
        <v>37</v>
      </c>
      <c r="B15" s="1" t="s">
        <v>38</v>
      </c>
      <c r="C15" s="1" t="s">
        <v>39</v>
      </c>
    </row>
    <row r="16" spans="1:3">
      <c r="A16" s="3">
        <v>33977</v>
      </c>
      <c r="B16">
        <v>329.8</v>
      </c>
      <c r="C16">
        <v>328.8</v>
      </c>
    </row>
    <row r="17" spans="1:3">
      <c r="A17" s="3">
        <v>33980</v>
      </c>
      <c r="B17">
        <v>328.9</v>
      </c>
      <c r="C17">
        <v>326.9</v>
      </c>
    </row>
    <row r="18" spans="1:3">
      <c r="A18" s="3">
        <v>33981</v>
      </c>
      <c r="B18">
        <v>330.7</v>
      </c>
      <c r="C18">
        <v>328.1</v>
      </c>
    </row>
    <row r="19" spans="1:3">
      <c r="A19" s="3">
        <v>33982</v>
      </c>
      <c r="B19">
        <v>328.5</v>
      </c>
      <c r="C19">
        <v>326.3</v>
      </c>
    </row>
    <row r="20" spans="1:3">
      <c r="A20" s="3">
        <v>33983</v>
      </c>
      <c r="B20">
        <v>328.5</v>
      </c>
      <c r="C20">
        <v>326.9</v>
      </c>
    </row>
    <row r="21" spans="1:1">
      <c r="A21" s="1" t="s">
        <v>55</v>
      </c>
    </row>
    <row r="22" spans="1:1">
      <c r="A22" s="1" t="s">
        <v>56</v>
      </c>
    </row>
    <row r="23" spans="1:1">
      <c r="A23">
        <v>335.1</v>
      </c>
    </row>
    <row r="24" spans="1:1">
      <c r="A24">
        <v>334.0616</v>
      </c>
    </row>
    <row r="25" spans="1:1">
      <c r="A25">
        <v>333.4192</v>
      </c>
    </row>
    <row r="26" spans="1:1">
      <c r="A26">
        <v>332.9</v>
      </c>
    </row>
    <row r="27" spans="1:1">
      <c r="A27">
        <v>332.3808</v>
      </c>
    </row>
    <row r="28" spans="1:1">
      <c r="A28">
        <v>331.7384</v>
      </c>
    </row>
    <row r="29" spans="1:1">
      <c r="A29">
        <v>330.7</v>
      </c>
    </row>
    <row r="30" spans="1:1">
      <c r="A30">
        <v>329.6616</v>
      </c>
    </row>
    <row r="31" spans="1:1">
      <c r="A31">
        <v>329.0192</v>
      </c>
    </row>
    <row r="32" spans="1:1">
      <c r="A32">
        <v>328.5</v>
      </c>
    </row>
    <row r="33" spans="1:1">
      <c r="A33">
        <v>327.9808</v>
      </c>
    </row>
    <row r="34" spans="1:1">
      <c r="A34">
        <v>327.2416</v>
      </c>
    </row>
    <row r="35" spans="1:1">
      <c r="A35">
        <v>326.3</v>
      </c>
    </row>
    <row r="36" spans="1:1">
      <c r="A36">
        <v>325.2616</v>
      </c>
    </row>
    <row r="37" spans="1:1">
      <c r="A37">
        <v>324.6192</v>
      </c>
    </row>
    <row r="38" spans="1:1">
      <c r="A38">
        <v>324.1</v>
      </c>
    </row>
    <row r="39" spans="1:1">
      <c r="A39">
        <v>323.5808</v>
      </c>
    </row>
    <row r="40" spans="1:1">
      <c r="A40">
        <v>322.9384</v>
      </c>
    </row>
    <row r="41" spans="1:1">
      <c r="A41">
        <v>321.9</v>
      </c>
    </row>
    <row r="42" spans="1:1">
      <c r="A42" s="1" t="s">
        <v>57</v>
      </c>
    </row>
    <row r="43" spans="1:6">
      <c r="A43" s="1" t="s">
        <v>58</v>
      </c>
      <c r="B43" s="1" t="s">
        <v>59</v>
      </c>
      <c r="C43" s="1" t="s">
        <v>60</v>
      </c>
      <c r="D43" s="1" t="s">
        <v>61</v>
      </c>
      <c r="E43" s="1" t="s">
        <v>62</v>
      </c>
      <c r="F43" s="1" t="s">
        <v>63</v>
      </c>
    </row>
    <row r="44" spans="1:6">
      <c r="A44">
        <v>330.7</v>
      </c>
      <c r="B44">
        <v>329.6616</v>
      </c>
      <c r="C44">
        <v>329.0192</v>
      </c>
      <c r="D44">
        <v>328.5</v>
      </c>
      <c r="E44">
        <v>327.9808</v>
      </c>
      <c r="F44">
        <v>327.2416</v>
      </c>
    </row>
    <row r="45" spans="1:6">
      <c r="A45">
        <v>330.4549376</v>
      </c>
      <c r="B45">
        <v>329.5099936</v>
      </c>
      <c r="C45">
        <v>328.8966688</v>
      </c>
      <c r="D45">
        <v>328.3774688</v>
      </c>
      <c r="E45">
        <v>327.8063488</v>
      </c>
      <c r="F45">
        <v>327.0193824</v>
      </c>
    </row>
    <row r="46" spans="1:6">
      <c r="A46">
        <v>330.3033312</v>
      </c>
      <c r="B46">
        <v>329.4162032</v>
      </c>
      <c r="C46">
        <v>328.8208656</v>
      </c>
      <c r="D46">
        <v>328.3016656</v>
      </c>
      <c r="E46">
        <v>327.6984256</v>
      </c>
      <c r="F46">
        <v>326.8819088</v>
      </c>
    </row>
    <row r="47" spans="1:6">
      <c r="A47">
        <v>330.1808</v>
      </c>
      <c r="B47">
        <v>329.3404</v>
      </c>
      <c r="C47">
        <v>328.7596</v>
      </c>
      <c r="D47">
        <v>328.2404</v>
      </c>
      <c r="E47">
        <v>327.6112</v>
      </c>
      <c r="F47">
        <v>326.7708</v>
      </c>
    </row>
    <row r="48" spans="1:6">
      <c r="A48">
        <v>330.0582688</v>
      </c>
      <c r="B48">
        <v>329.2645968</v>
      </c>
      <c r="C48">
        <v>328.6983344</v>
      </c>
      <c r="D48">
        <v>328.1791344</v>
      </c>
      <c r="E48">
        <v>327.5239744</v>
      </c>
      <c r="F48">
        <v>326.6596912</v>
      </c>
    </row>
    <row r="49" spans="1:6">
      <c r="A49">
        <v>329.8838176</v>
      </c>
      <c r="B49">
        <v>329.1566736</v>
      </c>
      <c r="C49">
        <v>328.6111088</v>
      </c>
      <c r="D49">
        <v>328.0919088</v>
      </c>
      <c r="E49">
        <v>327.3997888</v>
      </c>
      <c r="F49">
        <v>326.5015024</v>
      </c>
    </row>
    <row r="50" spans="1:6">
      <c r="A50">
        <v>329.6616</v>
      </c>
      <c r="B50">
        <v>329.0192</v>
      </c>
      <c r="C50">
        <v>328.5</v>
      </c>
      <c r="D50">
        <v>327.9808</v>
      </c>
      <c r="E50">
        <v>327.2416</v>
      </c>
      <c r="F50">
        <v>326.3</v>
      </c>
    </row>
    <row r="51" spans="1:1">
      <c r="A51" s="1" t="s">
        <v>64</v>
      </c>
    </row>
    <row r="52" spans="1:3">
      <c r="A52" s="1" t="s">
        <v>37</v>
      </c>
      <c r="B52" s="1" t="s">
        <v>38</v>
      </c>
      <c r="C52" s="1" t="s">
        <v>39</v>
      </c>
    </row>
    <row r="53" spans="1:3">
      <c r="A53" s="3">
        <v>33987</v>
      </c>
      <c r="B53">
        <v>328.2</v>
      </c>
      <c r="C53">
        <v>326.9</v>
      </c>
    </row>
    <row r="54" spans="1:3">
      <c r="A54" s="3">
        <v>33988</v>
      </c>
      <c r="B54">
        <v>329.4</v>
      </c>
      <c r="C54">
        <v>328.4</v>
      </c>
    </row>
    <row r="55" spans="1:3">
      <c r="A55" s="3">
        <v>33989</v>
      </c>
      <c r="B55">
        <v>330.4</v>
      </c>
      <c r="C55">
        <v>328.2</v>
      </c>
    </row>
    <row r="56" spans="1:3">
      <c r="A56" s="3">
        <v>33990</v>
      </c>
      <c r="B56">
        <v>330.3</v>
      </c>
      <c r="C56">
        <v>328.9</v>
      </c>
    </row>
    <row r="57" spans="1:3">
      <c r="A57" s="3">
        <v>33991</v>
      </c>
      <c r="B57">
        <v>329.7</v>
      </c>
      <c r="C57">
        <v>328.5</v>
      </c>
    </row>
    <row r="58" spans="1:1">
      <c r="A58" s="1" t="s">
        <v>65</v>
      </c>
    </row>
    <row r="59" spans="1:21">
      <c r="A59" s="1" t="s">
        <v>66</v>
      </c>
      <c r="B59" s="1" t="s">
        <v>51</v>
      </c>
      <c r="C59" s="1" t="s">
        <v>52</v>
      </c>
      <c r="D59" s="1" t="s">
        <v>67</v>
      </c>
      <c r="E59" s="1" t="s">
        <v>68</v>
      </c>
      <c r="F59" s="1" t="s">
        <v>48</v>
      </c>
      <c r="G59" s="1" t="s">
        <v>49</v>
      </c>
      <c r="H59" s="1" t="s">
        <v>69</v>
      </c>
      <c r="I59" s="1" t="s">
        <v>70</v>
      </c>
      <c r="J59" s="1" t="s">
        <v>71</v>
      </c>
      <c r="K59" s="1" t="s">
        <v>72</v>
      </c>
      <c r="L59" s="1" t="s">
        <v>73</v>
      </c>
      <c r="M59" s="1" t="s">
        <v>74</v>
      </c>
      <c r="N59" s="1" t="s">
        <v>75</v>
      </c>
      <c r="O59" s="1" t="s">
        <v>76</v>
      </c>
      <c r="P59" s="1" t="s">
        <v>77</v>
      </c>
      <c r="Q59" s="1" t="s">
        <v>78</v>
      </c>
      <c r="R59" s="1" t="s">
        <v>79</v>
      </c>
      <c r="S59" s="1" t="s">
        <v>80</v>
      </c>
      <c r="T59" s="1" t="s">
        <v>81</v>
      </c>
      <c r="U59" s="1" t="s">
        <v>82</v>
      </c>
    </row>
    <row r="60" spans="1:21">
      <c r="A60" t="s">
        <v>53</v>
      </c>
      <c r="B60" s="2">
        <v>33984</v>
      </c>
      <c r="C60" t="s">
        <v>53</v>
      </c>
      <c r="D60" s="2">
        <v>33977</v>
      </c>
      <c r="E60" s="2">
        <v>33983</v>
      </c>
      <c r="F60">
        <v>330.7</v>
      </c>
      <c r="G60">
        <v>326.3</v>
      </c>
      <c r="H60" s="2">
        <v>33987</v>
      </c>
      <c r="I60" s="2">
        <v>33991</v>
      </c>
      <c r="J60" t="s">
        <v>53</v>
      </c>
      <c r="K60">
        <v>1</v>
      </c>
      <c r="L60" t="s">
        <v>83</v>
      </c>
      <c r="M60">
        <v>329.6616</v>
      </c>
      <c r="N60" t="s">
        <v>83</v>
      </c>
      <c r="O60" t="s">
        <v>83</v>
      </c>
      <c r="P60" t="s">
        <v>84</v>
      </c>
      <c r="Q60" t="s">
        <v>85</v>
      </c>
      <c r="R60" t="s">
        <v>85</v>
      </c>
      <c r="S60" t="s">
        <v>83</v>
      </c>
      <c r="T60" t="s">
        <v>83</v>
      </c>
      <c r="U60">
        <v>0.64</v>
      </c>
    </row>
    <row r="61" spans="1:21">
      <c r="A61" t="s">
        <v>53</v>
      </c>
      <c r="B61" s="2">
        <v>33984</v>
      </c>
      <c r="C61" t="s">
        <v>53</v>
      </c>
      <c r="D61" s="2">
        <v>33977</v>
      </c>
      <c r="E61" s="2">
        <v>33983</v>
      </c>
      <c r="F61">
        <v>330.7</v>
      </c>
      <c r="G61">
        <v>326.3</v>
      </c>
      <c r="H61" s="2">
        <v>33987</v>
      </c>
      <c r="I61" s="2">
        <v>33991</v>
      </c>
      <c r="J61" t="s">
        <v>53</v>
      </c>
      <c r="K61">
        <v>2</v>
      </c>
      <c r="L61">
        <v>1</v>
      </c>
      <c r="M61">
        <v>329.0192</v>
      </c>
      <c r="N61" t="s">
        <v>83</v>
      </c>
      <c r="O61" t="s">
        <v>86</v>
      </c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>
        <v>0.52</v>
      </c>
    </row>
    <row r="62" spans="1:21">
      <c r="A62" t="s">
        <v>53</v>
      </c>
      <c r="B62" s="2">
        <v>33984</v>
      </c>
      <c r="C62" t="s">
        <v>53</v>
      </c>
      <c r="D62" s="2">
        <v>33977</v>
      </c>
      <c r="E62" s="2">
        <v>33983</v>
      </c>
      <c r="F62">
        <v>330.7</v>
      </c>
      <c r="G62">
        <v>326.3</v>
      </c>
      <c r="H62" s="2">
        <v>33987</v>
      </c>
      <c r="I62" s="2">
        <v>33991</v>
      </c>
      <c r="J62" t="s">
        <v>53</v>
      </c>
      <c r="K62">
        <v>2</v>
      </c>
      <c r="L62">
        <v>2</v>
      </c>
      <c r="M62">
        <v>329.0192</v>
      </c>
      <c r="N62" t="s">
        <v>83</v>
      </c>
      <c r="O62" t="s">
        <v>87</v>
      </c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88</v>
      </c>
    </row>
    <row r="63" spans="1:21">
      <c r="A63" t="s">
        <v>53</v>
      </c>
      <c r="B63" s="2">
        <v>33984</v>
      </c>
      <c r="C63" t="s">
        <v>53</v>
      </c>
      <c r="D63" s="2">
        <v>33977</v>
      </c>
      <c r="E63" s="2">
        <v>33983</v>
      </c>
      <c r="F63">
        <v>330.7</v>
      </c>
      <c r="G63">
        <v>326.3</v>
      </c>
      <c r="H63" s="2">
        <v>33987</v>
      </c>
      <c r="I63" s="2">
        <v>33991</v>
      </c>
      <c r="J63" t="s">
        <v>53</v>
      </c>
      <c r="K63">
        <v>3</v>
      </c>
      <c r="L63">
        <v>1</v>
      </c>
      <c r="M63">
        <v>327.9808</v>
      </c>
      <c r="N63" t="s">
        <v>89</v>
      </c>
      <c r="O63" t="s">
        <v>85</v>
      </c>
      <c r="P63" t="s">
        <v>85</v>
      </c>
      <c r="Q63" t="s">
        <v>85</v>
      </c>
      <c r="R63" t="s">
        <v>85</v>
      </c>
      <c r="S63" t="s">
        <v>83</v>
      </c>
      <c r="T63" t="s">
        <v>83</v>
      </c>
      <c r="U63">
        <v>0.74</v>
      </c>
    </row>
    <row r="64" spans="1:21">
      <c r="A64" t="s">
        <v>53</v>
      </c>
      <c r="B64" s="2">
        <v>33984</v>
      </c>
      <c r="C64" t="s">
        <v>53</v>
      </c>
      <c r="D64" s="2">
        <v>33977</v>
      </c>
      <c r="E64" s="2">
        <v>33983</v>
      </c>
      <c r="F64">
        <v>330.7</v>
      </c>
      <c r="G64">
        <v>326.3</v>
      </c>
      <c r="H64" s="2">
        <v>33987</v>
      </c>
      <c r="I64" s="2">
        <v>33991</v>
      </c>
      <c r="J64" t="s">
        <v>53</v>
      </c>
      <c r="K64">
        <v>3</v>
      </c>
      <c r="L64">
        <v>2</v>
      </c>
      <c r="M64">
        <v>327.9808</v>
      </c>
      <c r="N64" t="s">
        <v>87</v>
      </c>
      <c r="O64" t="s">
        <v>90</v>
      </c>
      <c r="P64" t="s">
        <v>85</v>
      </c>
      <c r="Q64" t="s">
        <v>85</v>
      </c>
      <c r="R64" t="s">
        <v>85</v>
      </c>
      <c r="S64" t="s">
        <v>83</v>
      </c>
      <c r="T64" t="s">
        <v>83</v>
      </c>
      <c r="U64">
        <v>-1.04</v>
      </c>
    </row>
    <row r="65" spans="1:21">
      <c r="A65" t="s">
        <v>53</v>
      </c>
      <c r="B65" s="2">
        <v>33984</v>
      </c>
      <c r="C65" t="s">
        <v>53</v>
      </c>
      <c r="D65" s="2">
        <v>33977</v>
      </c>
      <c r="E65" s="2">
        <v>33983</v>
      </c>
      <c r="F65">
        <v>330.7</v>
      </c>
      <c r="G65">
        <v>326.3</v>
      </c>
      <c r="H65" s="2">
        <v>33987</v>
      </c>
      <c r="I65" s="2">
        <v>33991</v>
      </c>
      <c r="J65" t="s">
        <v>53</v>
      </c>
      <c r="K65">
        <v>4</v>
      </c>
      <c r="L65" t="s">
        <v>83</v>
      </c>
      <c r="M65">
        <v>327.2416</v>
      </c>
      <c r="N65" t="s">
        <v>91</v>
      </c>
      <c r="O65" t="s">
        <v>85</v>
      </c>
      <c r="P65" t="s">
        <v>85</v>
      </c>
      <c r="Q65" t="s">
        <v>85</v>
      </c>
      <c r="R65" t="s">
        <v>85</v>
      </c>
      <c r="S65" t="s">
        <v>83</v>
      </c>
      <c r="T65" t="s">
        <v>83</v>
      </c>
      <c r="U65">
        <v>-0.74</v>
      </c>
    </row>
    <row r="66" spans="1:1">
      <c r="A66" s="1" t="s">
        <v>92</v>
      </c>
    </row>
    <row r="67" spans="1:4">
      <c r="A67" s="1" t="s">
        <v>93</v>
      </c>
      <c r="B67" s="1" t="s">
        <v>94</v>
      </c>
      <c r="C67" s="1" t="s">
        <v>95</v>
      </c>
      <c r="D67" s="1" t="s">
        <v>96</v>
      </c>
    </row>
    <row r="68" spans="1:4">
      <c r="A68" t="s">
        <v>97</v>
      </c>
      <c r="B68">
        <v>329.6616</v>
      </c>
      <c r="C68">
        <v>329.0192</v>
      </c>
      <c r="D68">
        <v>330.7</v>
      </c>
    </row>
    <row r="69" spans="1:4">
      <c r="A69" t="s">
        <v>98</v>
      </c>
      <c r="B69">
        <v>329.0192</v>
      </c>
      <c r="C69">
        <v>328.5</v>
      </c>
      <c r="D69">
        <v>329.6616</v>
      </c>
    </row>
    <row r="70" spans="1:4">
      <c r="A70" t="s">
        <v>99</v>
      </c>
      <c r="B70">
        <v>329.0192</v>
      </c>
      <c r="C70">
        <v>327.9808</v>
      </c>
      <c r="D70">
        <v>330.7</v>
      </c>
    </row>
    <row r="71" spans="1:4">
      <c r="A71" t="s">
        <v>100</v>
      </c>
      <c r="B71">
        <v>327.9808</v>
      </c>
      <c r="C71">
        <v>327.2416</v>
      </c>
      <c r="D71">
        <v>328.5</v>
      </c>
    </row>
    <row r="72" spans="1:4">
      <c r="A72" t="s">
        <v>101</v>
      </c>
      <c r="B72">
        <v>327.9808</v>
      </c>
      <c r="C72">
        <v>326.3</v>
      </c>
      <c r="D72">
        <v>329.0192</v>
      </c>
    </row>
    <row r="73" spans="1:4">
      <c r="A73" t="s">
        <v>102</v>
      </c>
      <c r="B73">
        <v>327.2416</v>
      </c>
      <c r="C73">
        <v>326.3</v>
      </c>
      <c r="D73">
        <v>327.9808</v>
      </c>
    </row>
    <row r="74" spans="1:1">
      <c r="A74" s="1" t="s">
        <v>103</v>
      </c>
    </row>
    <row r="75" spans="1:1">
      <c r="A75" t="s">
        <v>103</v>
      </c>
    </row>
    <row r="76" spans="1:1">
      <c r="A76" s="1" t="s">
        <v>45</v>
      </c>
    </row>
    <row r="77" spans="1:7">
      <c r="A77" s="1" t="s">
        <v>46</v>
      </c>
      <c r="B77" s="1" t="s">
        <v>47</v>
      </c>
      <c r="C77" s="1" t="s">
        <v>48</v>
      </c>
      <c r="D77" s="1" t="s">
        <v>49</v>
      </c>
      <c r="E77" s="1" t="s">
        <v>50</v>
      </c>
      <c r="F77" s="1" t="s">
        <v>51</v>
      </c>
      <c r="G77" s="1" t="s">
        <v>52</v>
      </c>
    </row>
    <row r="78" spans="1:7">
      <c r="A78" s="2">
        <v>33984</v>
      </c>
      <c r="B78" s="2">
        <v>33990</v>
      </c>
      <c r="C78">
        <v>330.4</v>
      </c>
      <c r="D78">
        <v>326.9</v>
      </c>
      <c r="E78" s="2">
        <v>33984</v>
      </c>
      <c r="F78" s="2">
        <v>33991</v>
      </c>
      <c r="G78" t="s">
        <v>104</v>
      </c>
    </row>
    <row r="79" spans="1:1">
      <c r="A79" s="1" t="s">
        <v>54</v>
      </c>
    </row>
    <row r="80" spans="1:3">
      <c r="A80" s="1" t="s">
        <v>37</v>
      </c>
      <c r="B80" s="1" t="s">
        <v>38</v>
      </c>
      <c r="C80" s="1" t="s">
        <v>39</v>
      </c>
    </row>
    <row r="81" spans="1:3">
      <c r="A81" s="3">
        <v>33984</v>
      </c>
      <c r="B81">
        <v>328</v>
      </c>
      <c r="C81">
        <v>326.9</v>
      </c>
    </row>
    <row r="82" spans="1:3">
      <c r="A82" s="3">
        <v>33987</v>
      </c>
      <c r="B82">
        <v>328.2</v>
      </c>
      <c r="C82">
        <v>326.9</v>
      </c>
    </row>
    <row r="83" spans="1:3">
      <c r="A83" s="3">
        <v>33988</v>
      </c>
      <c r="B83">
        <v>329.4</v>
      </c>
      <c r="C83">
        <v>328.4</v>
      </c>
    </row>
    <row r="84" spans="1:3">
      <c r="A84" s="3">
        <v>33989</v>
      </c>
      <c r="B84">
        <v>330.4</v>
      </c>
      <c r="C84">
        <v>328.2</v>
      </c>
    </row>
    <row r="85" spans="1:3">
      <c r="A85" s="3">
        <v>33990</v>
      </c>
      <c r="B85">
        <v>330.3</v>
      </c>
      <c r="C85">
        <v>328.9</v>
      </c>
    </row>
    <row r="86" spans="1:1">
      <c r="A86" s="1" t="s">
        <v>55</v>
      </c>
    </row>
    <row r="87" spans="1:1">
      <c r="A87" s="1" t="s">
        <v>56</v>
      </c>
    </row>
    <row r="88" spans="1:1">
      <c r="A88">
        <v>333.9</v>
      </c>
    </row>
    <row r="89" spans="1:1">
      <c r="A89">
        <v>333.074</v>
      </c>
    </row>
    <row r="90" spans="1:1">
      <c r="A90">
        <v>332.563</v>
      </c>
    </row>
    <row r="91" spans="1:1">
      <c r="A91">
        <v>332.15</v>
      </c>
    </row>
    <row r="92" spans="1:1">
      <c r="A92">
        <v>331.737</v>
      </c>
    </row>
    <row r="93" spans="1:1">
      <c r="A93">
        <v>331.226</v>
      </c>
    </row>
    <row r="94" spans="1:1">
      <c r="A94">
        <v>330.4</v>
      </c>
    </row>
    <row r="95" spans="1:1">
      <c r="A95">
        <v>329.574</v>
      </c>
    </row>
    <row r="96" spans="1:1">
      <c r="A96">
        <v>329.063</v>
      </c>
    </row>
    <row r="97" spans="1:1">
      <c r="A97">
        <v>328.65</v>
      </c>
    </row>
    <row r="98" spans="1:1">
      <c r="A98">
        <v>328.237</v>
      </c>
    </row>
    <row r="99" spans="1:1">
      <c r="A99">
        <v>327.649</v>
      </c>
    </row>
    <row r="100" spans="1:1">
      <c r="A100">
        <v>326.9</v>
      </c>
    </row>
    <row r="101" spans="1:1">
      <c r="A101">
        <v>326.074</v>
      </c>
    </row>
    <row r="102" spans="1:1">
      <c r="A102">
        <v>325.563</v>
      </c>
    </row>
    <row r="103" spans="1:1">
      <c r="A103">
        <v>325.15</v>
      </c>
    </row>
    <row r="104" spans="1:1">
      <c r="A104">
        <v>324.737</v>
      </c>
    </row>
    <row r="105" spans="1:1">
      <c r="A105">
        <v>324.226</v>
      </c>
    </row>
    <row r="106" spans="1:1">
      <c r="A106">
        <v>323.4</v>
      </c>
    </row>
    <row r="107" spans="1:1">
      <c r="A107" s="1" t="s">
        <v>57</v>
      </c>
    </row>
    <row r="108" spans="1:6">
      <c r="A108" s="1" t="s">
        <v>58</v>
      </c>
      <c r="B108" s="1" t="s">
        <v>59</v>
      </c>
      <c r="C108" s="1" t="s">
        <v>60</v>
      </c>
      <c r="D108" s="1" t="s">
        <v>61</v>
      </c>
      <c r="E108" s="1" t="s">
        <v>62</v>
      </c>
      <c r="F108" s="1" t="s">
        <v>63</v>
      </c>
    </row>
    <row r="109" spans="1:6">
      <c r="A109">
        <v>330.4</v>
      </c>
      <c r="B109">
        <v>329.574</v>
      </c>
      <c r="C109">
        <v>329.063</v>
      </c>
      <c r="D109">
        <v>328.65</v>
      </c>
      <c r="E109">
        <v>328.237</v>
      </c>
      <c r="F109">
        <v>327.649</v>
      </c>
    </row>
    <row r="110" spans="1:6">
      <c r="A110">
        <v>330.205064</v>
      </c>
      <c r="B110">
        <v>329.453404</v>
      </c>
      <c r="C110">
        <v>328.965532</v>
      </c>
      <c r="D110">
        <v>328.552532</v>
      </c>
      <c r="E110">
        <v>328.098232</v>
      </c>
      <c r="F110">
        <v>327.472236</v>
      </c>
    </row>
    <row r="111" spans="1:6">
      <c r="A111">
        <v>330.084468</v>
      </c>
      <c r="B111">
        <v>329.378798</v>
      </c>
      <c r="C111">
        <v>328.905234</v>
      </c>
      <c r="D111">
        <v>328.492234</v>
      </c>
      <c r="E111">
        <v>328.012384</v>
      </c>
      <c r="F111">
        <v>327.362882</v>
      </c>
    </row>
    <row r="112" spans="1:6">
      <c r="A112">
        <v>329.987</v>
      </c>
      <c r="B112">
        <v>329.3185</v>
      </c>
      <c r="C112">
        <v>328.8565</v>
      </c>
      <c r="D112">
        <v>328.4435</v>
      </c>
      <c r="E112">
        <v>327.943</v>
      </c>
      <c r="F112">
        <v>327.2745</v>
      </c>
    </row>
    <row r="113" spans="1:6">
      <c r="A113">
        <v>329.889532</v>
      </c>
      <c r="B113">
        <v>329.258202</v>
      </c>
      <c r="C113">
        <v>328.807766</v>
      </c>
      <c r="D113">
        <v>328.394766</v>
      </c>
      <c r="E113">
        <v>327.873616</v>
      </c>
      <c r="F113">
        <v>327.186118</v>
      </c>
    </row>
    <row r="114" spans="1:6">
      <c r="A114">
        <v>329.750764</v>
      </c>
      <c r="B114">
        <v>329.172354</v>
      </c>
      <c r="C114">
        <v>328.738382</v>
      </c>
      <c r="D114">
        <v>328.325382</v>
      </c>
      <c r="E114">
        <v>327.774832</v>
      </c>
      <c r="F114">
        <v>327.060286</v>
      </c>
    </row>
    <row r="115" spans="1:6">
      <c r="A115">
        <v>329.574</v>
      </c>
      <c r="B115">
        <v>329.063</v>
      </c>
      <c r="C115">
        <v>328.65</v>
      </c>
      <c r="D115">
        <v>328.237</v>
      </c>
      <c r="E115">
        <v>327.649</v>
      </c>
      <c r="F115">
        <v>326.9</v>
      </c>
    </row>
    <row r="116" spans="1:1">
      <c r="A116" s="1" t="s">
        <v>64</v>
      </c>
    </row>
    <row r="117" spans="1:3">
      <c r="A117" s="1" t="s">
        <v>37</v>
      </c>
      <c r="B117" s="1" t="s">
        <v>38</v>
      </c>
      <c r="C117" s="1" t="s">
        <v>39</v>
      </c>
    </row>
    <row r="118" spans="1:3">
      <c r="A118" s="3">
        <v>33994</v>
      </c>
      <c r="B118">
        <v>329.1</v>
      </c>
      <c r="C118">
        <v>328.2</v>
      </c>
    </row>
    <row r="119" spans="1:3">
      <c r="A119" s="3">
        <v>33995</v>
      </c>
      <c r="B119">
        <v>331.5</v>
      </c>
      <c r="C119">
        <v>329.3</v>
      </c>
    </row>
    <row r="120" spans="1:3">
      <c r="A120" s="3">
        <v>33996</v>
      </c>
      <c r="B120">
        <v>331.6</v>
      </c>
      <c r="C120">
        <v>330.3</v>
      </c>
    </row>
    <row r="121" spans="1:3">
      <c r="A121" s="3">
        <v>33997</v>
      </c>
      <c r="B121">
        <v>331.2</v>
      </c>
      <c r="C121">
        <v>330.4</v>
      </c>
    </row>
    <row r="122" spans="1:3">
      <c r="A122" s="3">
        <v>33998</v>
      </c>
      <c r="B122">
        <v>333</v>
      </c>
      <c r="C122">
        <v>330.6</v>
      </c>
    </row>
    <row r="123" spans="1:1">
      <c r="A123" s="1" t="s">
        <v>65</v>
      </c>
    </row>
    <row r="124" spans="1:21">
      <c r="A124" s="1" t="s">
        <v>66</v>
      </c>
      <c r="B124" s="1" t="s">
        <v>51</v>
      </c>
      <c r="C124" s="1" t="s">
        <v>52</v>
      </c>
      <c r="D124" s="1" t="s">
        <v>67</v>
      </c>
      <c r="E124" s="1" t="s">
        <v>68</v>
      </c>
      <c r="F124" s="1" t="s">
        <v>48</v>
      </c>
      <c r="G124" s="1" t="s">
        <v>49</v>
      </c>
      <c r="H124" s="1" t="s">
        <v>69</v>
      </c>
      <c r="I124" s="1" t="s">
        <v>70</v>
      </c>
      <c r="J124" s="1" t="s">
        <v>71</v>
      </c>
      <c r="K124" s="1" t="s">
        <v>72</v>
      </c>
      <c r="L124" s="1" t="s">
        <v>73</v>
      </c>
      <c r="M124" s="1" t="s">
        <v>74</v>
      </c>
      <c r="N124" s="1" t="s">
        <v>75</v>
      </c>
      <c r="O124" s="1" t="s">
        <v>76</v>
      </c>
      <c r="P124" s="1" t="s">
        <v>77</v>
      </c>
      <c r="Q124" s="1" t="s">
        <v>78</v>
      </c>
      <c r="R124" s="1" t="s">
        <v>79</v>
      </c>
      <c r="S124" s="1" t="s">
        <v>80</v>
      </c>
      <c r="T124" s="1" t="s">
        <v>81</v>
      </c>
      <c r="U124" s="1" t="s">
        <v>82</v>
      </c>
    </row>
    <row r="125" spans="1:21">
      <c r="A125" t="s">
        <v>104</v>
      </c>
      <c r="B125" s="2">
        <v>33991</v>
      </c>
      <c r="C125" t="s">
        <v>104</v>
      </c>
      <c r="D125" s="2">
        <v>33984</v>
      </c>
      <c r="E125" s="2">
        <v>33990</v>
      </c>
      <c r="F125">
        <v>330.4</v>
      </c>
      <c r="G125">
        <v>326.9</v>
      </c>
      <c r="H125" s="2">
        <v>33994</v>
      </c>
      <c r="I125" s="2">
        <v>33998</v>
      </c>
      <c r="J125" t="s">
        <v>104</v>
      </c>
      <c r="K125">
        <v>1</v>
      </c>
      <c r="L125" t="s">
        <v>83</v>
      </c>
      <c r="M125">
        <v>329.574</v>
      </c>
      <c r="N125" t="s">
        <v>105</v>
      </c>
      <c r="O125" t="s">
        <v>85</v>
      </c>
      <c r="P125" t="s">
        <v>85</v>
      </c>
      <c r="Q125" t="s">
        <v>85</v>
      </c>
      <c r="R125" t="s">
        <v>85</v>
      </c>
      <c r="S125" t="s">
        <v>83</v>
      </c>
      <c r="T125" t="s">
        <v>83</v>
      </c>
      <c r="U125">
        <v>-1.02</v>
      </c>
    </row>
    <row r="126" spans="1:21">
      <c r="A126" t="s">
        <v>104</v>
      </c>
      <c r="B126" s="2">
        <v>33991</v>
      </c>
      <c r="C126" t="s">
        <v>104</v>
      </c>
      <c r="D126" s="2">
        <v>33984</v>
      </c>
      <c r="E126" s="2">
        <v>33990</v>
      </c>
      <c r="F126">
        <v>330.4</v>
      </c>
      <c r="G126">
        <v>326.9</v>
      </c>
      <c r="H126" s="2">
        <v>33994</v>
      </c>
      <c r="I126" s="2">
        <v>33998</v>
      </c>
      <c r="J126" t="s">
        <v>104</v>
      </c>
      <c r="K126">
        <v>2</v>
      </c>
      <c r="L126">
        <v>1</v>
      </c>
      <c r="M126">
        <v>329.063</v>
      </c>
      <c r="N126" t="s">
        <v>106</v>
      </c>
      <c r="O126" t="s">
        <v>85</v>
      </c>
      <c r="P126" t="s">
        <v>85</v>
      </c>
      <c r="Q126" t="s">
        <v>85</v>
      </c>
      <c r="R126" t="s">
        <v>85</v>
      </c>
      <c r="S126" t="s">
        <v>83</v>
      </c>
      <c r="T126" t="s">
        <v>83</v>
      </c>
      <c r="U126">
        <v>-0.51</v>
      </c>
    </row>
    <row r="127" spans="1:21">
      <c r="A127" t="s">
        <v>104</v>
      </c>
      <c r="B127" s="2">
        <v>33991</v>
      </c>
      <c r="C127" t="s">
        <v>104</v>
      </c>
      <c r="D127" s="2">
        <v>33984</v>
      </c>
      <c r="E127" s="2">
        <v>33990</v>
      </c>
      <c r="F127">
        <v>330.4</v>
      </c>
      <c r="G127">
        <v>326.9</v>
      </c>
      <c r="H127" s="2">
        <v>33994</v>
      </c>
      <c r="I127" s="2">
        <v>33998</v>
      </c>
      <c r="J127" t="s">
        <v>104</v>
      </c>
      <c r="K127">
        <v>2</v>
      </c>
      <c r="L127">
        <v>2</v>
      </c>
      <c r="M127">
        <v>329.063</v>
      </c>
      <c r="N127" t="s">
        <v>107</v>
      </c>
      <c r="O127" t="s">
        <v>108</v>
      </c>
      <c r="P127" t="s">
        <v>85</v>
      </c>
      <c r="Q127" t="s">
        <v>85</v>
      </c>
      <c r="R127" t="s">
        <v>85</v>
      </c>
      <c r="S127" t="s">
        <v>83</v>
      </c>
      <c r="T127" t="s">
        <v>83</v>
      </c>
      <c r="U127">
        <v>2.16</v>
      </c>
    </row>
    <row r="128" spans="1:21">
      <c r="A128" t="s">
        <v>104</v>
      </c>
      <c r="B128" s="2">
        <v>33991</v>
      </c>
      <c r="C128" t="s">
        <v>104</v>
      </c>
      <c r="D128" s="2">
        <v>33984</v>
      </c>
      <c r="E128" s="2">
        <v>33990</v>
      </c>
      <c r="F128">
        <v>330.4</v>
      </c>
      <c r="G128">
        <v>326.9</v>
      </c>
      <c r="H128" s="2">
        <v>33994</v>
      </c>
      <c r="I128" s="2">
        <v>33998</v>
      </c>
      <c r="J128" t="s">
        <v>104</v>
      </c>
      <c r="K128">
        <v>3</v>
      </c>
      <c r="L128">
        <v>1</v>
      </c>
      <c r="M128">
        <v>328.237</v>
      </c>
      <c r="N128" t="s">
        <v>107</v>
      </c>
      <c r="O128" t="s">
        <v>109</v>
      </c>
      <c r="P128" t="s">
        <v>85</v>
      </c>
      <c r="Q128" t="s">
        <v>85</v>
      </c>
      <c r="R128" t="s">
        <v>85</v>
      </c>
      <c r="S128" t="s">
        <v>83</v>
      </c>
      <c r="T128" t="s">
        <v>83</v>
      </c>
      <c r="U128">
        <v>1.34</v>
      </c>
    </row>
    <row r="129" spans="1:21">
      <c r="A129" t="s">
        <v>104</v>
      </c>
      <c r="B129" s="2">
        <v>33991</v>
      </c>
      <c r="C129" t="s">
        <v>104</v>
      </c>
      <c r="D129" s="2">
        <v>33984</v>
      </c>
      <c r="E129" s="2">
        <v>33990</v>
      </c>
      <c r="F129">
        <v>330.4</v>
      </c>
      <c r="G129">
        <v>326.9</v>
      </c>
      <c r="H129" s="2">
        <v>33994</v>
      </c>
      <c r="I129" s="2">
        <v>33998</v>
      </c>
      <c r="J129" t="s">
        <v>104</v>
      </c>
      <c r="K129">
        <v>3</v>
      </c>
      <c r="L129">
        <v>2</v>
      </c>
      <c r="M129">
        <v>328.237</v>
      </c>
      <c r="N129" t="s">
        <v>110</v>
      </c>
      <c r="O129" t="s">
        <v>85</v>
      </c>
      <c r="P129" t="s">
        <v>85</v>
      </c>
      <c r="Q129" t="s">
        <v>85</v>
      </c>
      <c r="R129" t="s">
        <v>85</v>
      </c>
      <c r="S129" t="s">
        <v>83</v>
      </c>
      <c r="T129" t="s">
        <v>83</v>
      </c>
      <c r="U129">
        <v>0.83</v>
      </c>
    </row>
    <row r="130" spans="1:21">
      <c r="A130" t="s">
        <v>104</v>
      </c>
      <c r="B130" s="2">
        <v>33991</v>
      </c>
      <c r="C130" t="s">
        <v>104</v>
      </c>
      <c r="D130" s="2">
        <v>33984</v>
      </c>
      <c r="E130" s="2">
        <v>33990</v>
      </c>
      <c r="F130">
        <v>330.4</v>
      </c>
      <c r="G130">
        <v>326.9</v>
      </c>
      <c r="H130" s="2">
        <v>33994</v>
      </c>
      <c r="I130" s="2">
        <v>33998</v>
      </c>
      <c r="J130" t="s">
        <v>104</v>
      </c>
      <c r="K130">
        <v>4</v>
      </c>
      <c r="L130" t="s">
        <v>83</v>
      </c>
      <c r="M130">
        <v>327.649</v>
      </c>
      <c r="N130" t="s">
        <v>83</v>
      </c>
      <c r="O130" t="s">
        <v>83</v>
      </c>
      <c r="P130" t="s">
        <v>83</v>
      </c>
      <c r="Q130" t="s">
        <v>83</v>
      </c>
      <c r="R130" t="s">
        <v>83</v>
      </c>
      <c r="S130" t="s">
        <v>83</v>
      </c>
      <c r="T130" t="s">
        <v>83</v>
      </c>
      <c r="U130" t="s">
        <v>88</v>
      </c>
    </row>
    <row r="131" spans="1:1">
      <c r="A131" s="1" t="s">
        <v>92</v>
      </c>
    </row>
    <row r="132" spans="1:4">
      <c r="A132" s="1" t="s">
        <v>93</v>
      </c>
      <c r="B132" s="1" t="s">
        <v>94</v>
      </c>
      <c r="C132" s="1" t="s">
        <v>95</v>
      </c>
      <c r="D132" s="1" t="s">
        <v>96</v>
      </c>
    </row>
    <row r="133" spans="1:4">
      <c r="A133" t="s">
        <v>97</v>
      </c>
      <c r="B133">
        <v>329.574</v>
      </c>
      <c r="C133">
        <v>331.737</v>
      </c>
      <c r="D133">
        <v>328.552532</v>
      </c>
    </row>
    <row r="134" spans="1:4">
      <c r="A134" t="s">
        <v>98</v>
      </c>
      <c r="B134">
        <v>329.063</v>
      </c>
      <c r="C134">
        <v>330.4</v>
      </c>
      <c r="D134">
        <v>328.552532</v>
      </c>
    </row>
    <row r="135" spans="1:4">
      <c r="A135" t="s">
        <v>99</v>
      </c>
      <c r="B135">
        <v>329.063</v>
      </c>
      <c r="C135">
        <v>331.226</v>
      </c>
      <c r="D135">
        <v>328.098232</v>
      </c>
    </row>
    <row r="136" spans="1:4">
      <c r="A136" t="s">
        <v>100</v>
      </c>
      <c r="B136">
        <v>328.237</v>
      </c>
      <c r="C136">
        <v>329.574</v>
      </c>
      <c r="D136">
        <v>327.2745</v>
      </c>
    </row>
    <row r="137" spans="1:4">
      <c r="A137" t="s">
        <v>101</v>
      </c>
      <c r="B137">
        <v>328.237</v>
      </c>
      <c r="C137">
        <v>329.063</v>
      </c>
      <c r="D137">
        <v>327.2745</v>
      </c>
    </row>
    <row r="138" spans="1:4">
      <c r="A138" t="s">
        <v>102</v>
      </c>
      <c r="B138">
        <v>327.649</v>
      </c>
      <c r="C138">
        <v>328.65</v>
      </c>
      <c r="D138">
        <v>326.9</v>
      </c>
    </row>
    <row r="139" spans="1:1">
      <c r="A139" s="1" t="s">
        <v>111</v>
      </c>
    </row>
    <row r="140" spans="1:1">
      <c r="A140" t="s">
        <v>111</v>
      </c>
    </row>
    <row r="141" spans="1:1">
      <c r="A141" s="1" t="s">
        <v>45</v>
      </c>
    </row>
    <row r="142" spans="1:7">
      <c r="A142" s="1" t="s">
        <v>46</v>
      </c>
      <c r="B142" s="1" t="s">
        <v>47</v>
      </c>
      <c r="C142" s="1" t="s">
        <v>48</v>
      </c>
      <c r="D142" s="1" t="s">
        <v>49</v>
      </c>
      <c r="E142" s="1" t="s">
        <v>50</v>
      </c>
      <c r="F142" s="1" t="s">
        <v>51</v>
      </c>
      <c r="G142" s="1" t="s">
        <v>52</v>
      </c>
    </row>
    <row r="143" spans="1:7">
      <c r="A143" s="2">
        <v>33991</v>
      </c>
      <c r="B143" s="2">
        <v>33997</v>
      </c>
      <c r="C143">
        <v>331.6</v>
      </c>
      <c r="D143">
        <v>328.2</v>
      </c>
      <c r="E143" s="2">
        <v>33991</v>
      </c>
      <c r="F143" s="2">
        <v>33998</v>
      </c>
      <c r="G143" t="s">
        <v>104</v>
      </c>
    </row>
    <row r="144" spans="1:1">
      <c r="A144" s="1" t="s">
        <v>54</v>
      </c>
    </row>
    <row r="145" spans="1:3">
      <c r="A145" s="1" t="s">
        <v>37</v>
      </c>
      <c r="B145" s="1" t="s">
        <v>38</v>
      </c>
      <c r="C145" s="1" t="s">
        <v>39</v>
      </c>
    </row>
    <row r="146" spans="1:3">
      <c r="A146" s="3">
        <v>33991</v>
      </c>
      <c r="B146">
        <v>329.7</v>
      </c>
      <c r="C146">
        <v>328.5</v>
      </c>
    </row>
    <row r="147" spans="1:3">
      <c r="A147" s="3">
        <v>33994</v>
      </c>
      <c r="B147">
        <v>329.1</v>
      </c>
      <c r="C147">
        <v>328.2</v>
      </c>
    </row>
    <row r="148" spans="1:3">
      <c r="A148" s="3">
        <v>33995</v>
      </c>
      <c r="B148">
        <v>331.5</v>
      </c>
      <c r="C148">
        <v>329.3</v>
      </c>
    </row>
    <row r="149" spans="1:3">
      <c r="A149" s="3">
        <v>33996</v>
      </c>
      <c r="B149">
        <v>331.6</v>
      </c>
      <c r="C149">
        <v>330.3</v>
      </c>
    </row>
    <row r="150" spans="1:3">
      <c r="A150" s="3">
        <v>33997</v>
      </c>
      <c r="B150">
        <v>331.2</v>
      </c>
      <c r="C150">
        <v>330.4</v>
      </c>
    </row>
    <row r="151" spans="1:1">
      <c r="A151" s="1" t="s">
        <v>55</v>
      </c>
    </row>
    <row r="152" spans="1:1">
      <c r="A152" s="1" t="s">
        <v>56</v>
      </c>
    </row>
    <row r="153" spans="1:1">
      <c r="A153">
        <v>335</v>
      </c>
    </row>
    <row r="154" spans="1:1">
      <c r="A154">
        <v>334.1976</v>
      </c>
    </row>
    <row r="155" spans="1:1">
      <c r="A155">
        <v>333.7012</v>
      </c>
    </row>
    <row r="156" spans="1:1">
      <c r="A156">
        <v>333.3</v>
      </c>
    </row>
    <row r="157" spans="1:1">
      <c r="A157">
        <v>332.8988</v>
      </c>
    </row>
    <row r="158" spans="1:1">
      <c r="A158">
        <v>332.4024</v>
      </c>
    </row>
    <row r="159" spans="1:1">
      <c r="A159">
        <v>331.6</v>
      </c>
    </row>
    <row r="160" spans="1:1">
      <c r="A160">
        <v>330.7976</v>
      </c>
    </row>
    <row r="161" spans="1:1">
      <c r="A161">
        <v>330.3012</v>
      </c>
    </row>
    <row r="162" spans="1:1">
      <c r="A162">
        <v>329.9</v>
      </c>
    </row>
    <row r="163" spans="1:1">
      <c r="A163">
        <v>329.4988</v>
      </c>
    </row>
    <row r="164" spans="1:1">
      <c r="A164">
        <v>328.9276</v>
      </c>
    </row>
    <row r="165" spans="1:1">
      <c r="A165">
        <v>328.2</v>
      </c>
    </row>
    <row r="166" spans="1:1">
      <c r="A166">
        <v>327.3976</v>
      </c>
    </row>
    <row r="167" spans="1:1">
      <c r="A167">
        <v>326.9012</v>
      </c>
    </row>
    <row r="168" spans="1:1">
      <c r="A168">
        <v>326.5</v>
      </c>
    </row>
    <row r="169" spans="1:1">
      <c r="A169">
        <v>326.0988</v>
      </c>
    </row>
    <row r="170" spans="1:1">
      <c r="A170">
        <v>325.6024</v>
      </c>
    </row>
    <row r="171" spans="1:1">
      <c r="A171">
        <v>324.8</v>
      </c>
    </row>
    <row r="172" spans="1:1">
      <c r="A172" s="1" t="s">
        <v>57</v>
      </c>
    </row>
    <row r="173" spans="1:6">
      <c r="A173" s="1" t="s">
        <v>58</v>
      </c>
      <c r="B173" s="1" t="s">
        <v>59</v>
      </c>
      <c r="C173" s="1" t="s">
        <v>60</v>
      </c>
      <c r="D173" s="1" t="s">
        <v>61</v>
      </c>
      <c r="E173" s="1" t="s">
        <v>62</v>
      </c>
      <c r="F173" s="1" t="s">
        <v>63</v>
      </c>
    </row>
    <row r="174" spans="1:6">
      <c r="A174">
        <v>331.6</v>
      </c>
      <c r="B174">
        <v>330.7976</v>
      </c>
      <c r="C174">
        <v>330.3012</v>
      </c>
      <c r="D174">
        <v>329.9</v>
      </c>
      <c r="E174">
        <v>329.4988</v>
      </c>
      <c r="F174">
        <v>328.9276</v>
      </c>
    </row>
    <row r="175" spans="1:6">
      <c r="A175">
        <v>331.4106336</v>
      </c>
      <c r="B175">
        <v>330.6804496</v>
      </c>
      <c r="C175">
        <v>330.2065168</v>
      </c>
      <c r="D175">
        <v>329.8053168</v>
      </c>
      <c r="E175">
        <v>329.3639968</v>
      </c>
      <c r="F175">
        <v>328.7558864</v>
      </c>
    </row>
    <row r="176" spans="1:6">
      <c r="A176">
        <v>331.2934832</v>
      </c>
      <c r="B176">
        <v>330.6079752</v>
      </c>
      <c r="C176">
        <v>330.1479416</v>
      </c>
      <c r="D176">
        <v>329.7467416</v>
      </c>
      <c r="E176">
        <v>329.2806016</v>
      </c>
      <c r="F176">
        <v>328.6496568</v>
      </c>
    </row>
    <row r="177" spans="1:6">
      <c r="A177">
        <v>331.1988</v>
      </c>
      <c r="B177">
        <v>330.5494</v>
      </c>
      <c r="C177">
        <v>330.1006</v>
      </c>
      <c r="D177">
        <v>329.6994</v>
      </c>
      <c r="E177">
        <v>329.2132</v>
      </c>
      <c r="F177">
        <v>328.5638</v>
      </c>
    </row>
    <row r="178" spans="1:6">
      <c r="A178">
        <v>331.1041168</v>
      </c>
      <c r="B178">
        <v>330.4908248</v>
      </c>
      <c r="C178">
        <v>330.0532584</v>
      </c>
      <c r="D178">
        <v>329.6520584</v>
      </c>
      <c r="E178">
        <v>329.1457984</v>
      </c>
      <c r="F178">
        <v>328.4779432</v>
      </c>
    </row>
    <row r="179" spans="1:6">
      <c r="A179">
        <v>330.9693136</v>
      </c>
      <c r="B179">
        <v>330.4074296</v>
      </c>
      <c r="C179">
        <v>329.9858568</v>
      </c>
      <c r="D179">
        <v>329.5846568</v>
      </c>
      <c r="E179">
        <v>329.0498368</v>
      </c>
      <c r="F179">
        <v>328.3557064</v>
      </c>
    </row>
    <row r="180" spans="1:6">
      <c r="A180">
        <v>330.7976</v>
      </c>
      <c r="B180">
        <v>330.3012</v>
      </c>
      <c r="C180">
        <v>329.9</v>
      </c>
      <c r="D180">
        <v>329.4988</v>
      </c>
      <c r="E180">
        <v>328.9276</v>
      </c>
      <c r="F180">
        <v>328.2</v>
      </c>
    </row>
    <row r="181" spans="1:1">
      <c r="A181" s="1" t="s">
        <v>64</v>
      </c>
    </row>
    <row r="182" spans="1:3">
      <c r="A182" s="1" t="s">
        <v>37</v>
      </c>
      <c r="B182" s="1" t="s">
        <v>38</v>
      </c>
      <c r="C182" s="1" t="s">
        <v>39</v>
      </c>
    </row>
    <row r="183" spans="1:3">
      <c r="A183" s="3">
        <v>34001</v>
      </c>
      <c r="B183">
        <v>331.2</v>
      </c>
      <c r="C183">
        <v>330.1</v>
      </c>
    </row>
    <row r="184" spans="1:3">
      <c r="A184" s="3">
        <v>34002</v>
      </c>
      <c r="B184">
        <v>331.1</v>
      </c>
      <c r="C184">
        <v>330</v>
      </c>
    </row>
    <row r="185" spans="1:3">
      <c r="A185" s="3">
        <v>34003</v>
      </c>
      <c r="B185">
        <v>330.2</v>
      </c>
      <c r="C185">
        <v>329.1</v>
      </c>
    </row>
    <row r="186" spans="1:3">
      <c r="A186" s="3">
        <v>34004</v>
      </c>
      <c r="B186">
        <v>329.3</v>
      </c>
      <c r="C186">
        <v>328.5</v>
      </c>
    </row>
    <row r="187" spans="1:3">
      <c r="A187" s="3">
        <v>34005</v>
      </c>
      <c r="B187">
        <v>329.3</v>
      </c>
      <c r="C187">
        <v>328.6</v>
      </c>
    </row>
    <row r="188" spans="1:1">
      <c r="A188" s="1" t="s">
        <v>65</v>
      </c>
    </row>
    <row r="189" spans="1:21">
      <c r="A189" s="1" t="s">
        <v>66</v>
      </c>
      <c r="B189" s="1" t="s">
        <v>51</v>
      </c>
      <c r="C189" s="1" t="s">
        <v>52</v>
      </c>
      <c r="D189" s="1" t="s">
        <v>67</v>
      </c>
      <c r="E189" s="1" t="s">
        <v>68</v>
      </c>
      <c r="F189" s="1" t="s">
        <v>48</v>
      </c>
      <c r="G189" s="1" t="s">
        <v>49</v>
      </c>
      <c r="H189" s="1" t="s">
        <v>69</v>
      </c>
      <c r="I189" s="1" t="s">
        <v>70</v>
      </c>
      <c r="J189" s="1" t="s">
        <v>71</v>
      </c>
      <c r="K189" s="1" t="s">
        <v>72</v>
      </c>
      <c r="L189" s="1" t="s">
        <v>73</v>
      </c>
      <c r="M189" s="1" t="s">
        <v>74</v>
      </c>
      <c r="N189" s="1" t="s">
        <v>75</v>
      </c>
      <c r="O189" s="1" t="s">
        <v>76</v>
      </c>
      <c r="P189" s="1" t="s">
        <v>77</v>
      </c>
      <c r="Q189" s="1" t="s">
        <v>78</v>
      </c>
      <c r="R189" s="1" t="s">
        <v>79</v>
      </c>
      <c r="S189" s="1" t="s">
        <v>80</v>
      </c>
      <c r="T189" s="1" t="s">
        <v>81</v>
      </c>
      <c r="U189" s="1" t="s">
        <v>82</v>
      </c>
    </row>
    <row r="190" spans="1:21">
      <c r="A190" t="s">
        <v>104</v>
      </c>
      <c r="B190" s="2">
        <v>33998</v>
      </c>
      <c r="C190" t="s">
        <v>104</v>
      </c>
      <c r="D190" s="2">
        <v>33991</v>
      </c>
      <c r="E190" s="2">
        <v>33997</v>
      </c>
      <c r="F190">
        <v>331.6</v>
      </c>
      <c r="G190">
        <v>328.2</v>
      </c>
      <c r="H190" s="2">
        <v>34001</v>
      </c>
      <c r="I190" s="2">
        <v>34005</v>
      </c>
      <c r="J190" t="s">
        <v>104</v>
      </c>
      <c r="K190">
        <v>1</v>
      </c>
      <c r="L190" t="s">
        <v>83</v>
      </c>
      <c r="M190">
        <v>330.7976</v>
      </c>
      <c r="N190" t="s">
        <v>107</v>
      </c>
      <c r="O190" t="s">
        <v>83</v>
      </c>
      <c r="P190" t="s">
        <v>112</v>
      </c>
      <c r="Q190" t="s">
        <v>85</v>
      </c>
      <c r="R190" t="s">
        <v>85</v>
      </c>
      <c r="S190" t="s">
        <v>83</v>
      </c>
      <c r="T190" t="s">
        <v>83</v>
      </c>
      <c r="U190">
        <v>-0.99</v>
      </c>
    </row>
    <row r="191" spans="1:21">
      <c r="A191" t="s">
        <v>104</v>
      </c>
      <c r="B191" s="2">
        <v>33998</v>
      </c>
      <c r="C191" t="s">
        <v>104</v>
      </c>
      <c r="D191" s="2">
        <v>33991</v>
      </c>
      <c r="E191" s="2">
        <v>33997</v>
      </c>
      <c r="F191">
        <v>331.6</v>
      </c>
      <c r="G191">
        <v>328.2</v>
      </c>
      <c r="H191" s="2">
        <v>34001</v>
      </c>
      <c r="I191" s="2">
        <v>34005</v>
      </c>
      <c r="J191" t="s">
        <v>104</v>
      </c>
      <c r="K191">
        <v>2</v>
      </c>
      <c r="L191">
        <v>1</v>
      </c>
      <c r="M191">
        <v>330.3012</v>
      </c>
      <c r="N191" t="s">
        <v>107</v>
      </c>
      <c r="O191" t="s">
        <v>83</v>
      </c>
      <c r="P191" t="s">
        <v>113</v>
      </c>
      <c r="Q191" t="s">
        <v>85</v>
      </c>
      <c r="R191" t="s">
        <v>85</v>
      </c>
      <c r="S191" t="s">
        <v>83</v>
      </c>
      <c r="T191" t="s">
        <v>83</v>
      </c>
      <c r="U191">
        <v>-0.5</v>
      </c>
    </row>
    <row r="192" spans="1:21">
      <c r="A192" t="s">
        <v>104</v>
      </c>
      <c r="B192" s="2">
        <v>33998</v>
      </c>
      <c r="C192" t="s">
        <v>104</v>
      </c>
      <c r="D192" s="2">
        <v>33991</v>
      </c>
      <c r="E192" s="2">
        <v>33997</v>
      </c>
      <c r="F192">
        <v>331.6</v>
      </c>
      <c r="G192">
        <v>328.2</v>
      </c>
      <c r="H192" s="2">
        <v>34001</v>
      </c>
      <c r="I192" s="2">
        <v>34005</v>
      </c>
      <c r="J192" t="s">
        <v>104</v>
      </c>
      <c r="K192">
        <v>2</v>
      </c>
      <c r="L192">
        <v>2</v>
      </c>
      <c r="M192">
        <v>330.3012</v>
      </c>
      <c r="N192" t="s">
        <v>107</v>
      </c>
      <c r="O192" t="s">
        <v>83</v>
      </c>
      <c r="P192" t="s">
        <v>114</v>
      </c>
      <c r="Q192" t="s">
        <v>85</v>
      </c>
      <c r="R192" t="s">
        <v>85</v>
      </c>
      <c r="S192" t="s">
        <v>83</v>
      </c>
      <c r="T192" t="s">
        <v>83</v>
      </c>
      <c r="U192">
        <v>-0.94</v>
      </c>
    </row>
    <row r="193" spans="1:21">
      <c r="A193" t="s">
        <v>104</v>
      </c>
      <c r="B193" s="2">
        <v>33998</v>
      </c>
      <c r="C193" t="s">
        <v>104</v>
      </c>
      <c r="D193" s="2">
        <v>33991</v>
      </c>
      <c r="E193" s="2">
        <v>33997</v>
      </c>
      <c r="F193">
        <v>331.6</v>
      </c>
      <c r="G193">
        <v>328.2</v>
      </c>
      <c r="H193" s="2">
        <v>34001</v>
      </c>
      <c r="I193" s="2">
        <v>34005</v>
      </c>
      <c r="J193" t="s">
        <v>104</v>
      </c>
      <c r="K193">
        <v>3</v>
      </c>
      <c r="L193">
        <v>1</v>
      </c>
      <c r="M193">
        <v>329.4988</v>
      </c>
      <c r="N193" t="s">
        <v>83</v>
      </c>
      <c r="O193" t="s">
        <v>83</v>
      </c>
      <c r="P193" t="s">
        <v>107</v>
      </c>
      <c r="Q193" t="s">
        <v>115</v>
      </c>
      <c r="R193" t="s">
        <v>85</v>
      </c>
      <c r="S193" t="s">
        <v>83</v>
      </c>
      <c r="T193" t="s">
        <v>83</v>
      </c>
      <c r="U193">
        <v>-0.94</v>
      </c>
    </row>
    <row r="194" spans="1:21">
      <c r="A194" t="s">
        <v>104</v>
      </c>
      <c r="B194" s="2">
        <v>33998</v>
      </c>
      <c r="C194" t="s">
        <v>104</v>
      </c>
      <c r="D194" s="2">
        <v>33991</v>
      </c>
      <c r="E194" s="2">
        <v>33997</v>
      </c>
      <c r="F194">
        <v>331.6</v>
      </c>
      <c r="G194">
        <v>328.2</v>
      </c>
      <c r="H194" s="2">
        <v>34001</v>
      </c>
      <c r="I194" s="2">
        <v>34005</v>
      </c>
      <c r="J194" t="s">
        <v>104</v>
      </c>
      <c r="K194">
        <v>3</v>
      </c>
      <c r="L194">
        <v>2</v>
      </c>
      <c r="M194">
        <v>329.4988</v>
      </c>
      <c r="N194" t="s">
        <v>83</v>
      </c>
      <c r="O194" t="s">
        <v>83</v>
      </c>
      <c r="P194" t="s">
        <v>107</v>
      </c>
      <c r="Q194" t="s">
        <v>116</v>
      </c>
      <c r="R194" t="s">
        <v>85</v>
      </c>
      <c r="S194" t="s">
        <v>83</v>
      </c>
      <c r="T194" t="s">
        <v>83</v>
      </c>
      <c r="U194">
        <v>-0.94</v>
      </c>
    </row>
    <row r="195" spans="1:21">
      <c r="A195" t="s">
        <v>104</v>
      </c>
      <c r="B195" s="2">
        <v>33998</v>
      </c>
      <c r="C195" t="s">
        <v>104</v>
      </c>
      <c r="D195" s="2">
        <v>33991</v>
      </c>
      <c r="E195" s="2">
        <v>33997</v>
      </c>
      <c r="F195">
        <v>331.6</v>
      </c>
      <c r="G195">
        <v>328.2</v>
      </c>
      <c r="H195" s="2">
        <v>34001</v>
      </c>
      <c r="I195" s="2">
        <v>34005</v>
      </c>
      <c r="J195" t="s">
        <v>104</v>
      </c>
      <c r="K195">
        <v>4</v>
      </c>
      <c r="L195" t="s">
        <v>83</v>
      </c>
      <c r="M195">
        <v>328.9276</v>
      </c>
      <c r="N195" t="s">
        <v>83</v>
      </c>
      <c r="O195" t="s">
        <v>83</v>
      </c>
      <c r="P195" t="s">
        <v>83</v>
      </c>
      <c r="Q195" t="s">
        <v>107</v>
      </c>
      <c r="R195" t="s">
        <v>83</v>
      </c>
      <c r="S195" t="s">
        <v>83</v>
      </c>
      <c r="T195" t="s">
        <v>83</v>
      </c>
      <c r="U195" t="s">
        <v>88</v>
      </c>
    </row>
    <row r="196" spans="1:1">
      <c r="A196" s="1" t="s">
        <v>92</v>
      </c>
    </row>
    <row r="197" spans="1:4">
      <c r="A197" s="1" t="s">
        <v>93</v>
      </c>
      <c r="B197" s="1" t="s">
        <v>94</v>
      </c>
      <c r="C197" s="1" t="s">
        <v>95</v>
      </c>
      <c r="D197" s="1" t="s">
        <v>96</v>
      </c>
    </row>
    <row r="198" spans="1:4">
      <c r="A198" t="s">
        <v>97</v>
      </c>
      <c r="B198">
        <v>330.7976</v>
      </c>
      <c r="C198">
        <v>332.8988</v>
      </c>
      <c r="D198">
        <v>329.8053168</v>
      </c>
    </row>
    <row r="199" spans="1:4">
      <c r="A199" t="s">
        <v>98</v>
      </c>
      <c r="B199">
        <v>330.3012</v>
      </c>
      <c r="C199">
        <v>331.6</v>
      </c>
      <c r="D199">
        <v>329.8053168</v>
      </c>
    </row>
    <row r="200" spans="1:4">
      <c r="A200" t="s">
        <v>99</v>
      </c>
      <c r="B200">
        <v>330.3012</v>
      </c>
      <c r="C200">
        <v>332.4024</v>
      </c>
      <c r="D200">
        <v>329.3639968</v>
      </c>
    </row>
    <row r="201" spans="1:4">
      <c r="A201" t="s">
        <v>100</v>
      </c>
      <c r="B201">
        <v>329.4988</v>
      </c>
      <c r="C201">
        <v>330.7976</v>
      </c>
      <c r="D201">
        <v>328.5638</v>
      </c>
    </row>
    <row r="202" spans="1:4">
      <c r="A202" t="s">
        <v>101</v>
      </c>
      <c r="B202">
        <v>329.4988</v>
      </c>
      <c r="C202">
        <v>330.3012</v>
      </c>
      <c r="D202">
        <v>328.5638</v>
      </c>
    </row>
    <row r="203" spans="1:4">
      <c r="A203" t="s">
        <v>102</v>
      </c>
      <c r="B203">
        <v>328.9276</v>
      </c>
      <c r="C203">
        <v>329.9</v>
      </c>
      <c r="D203">
        <v>328.2</v>
      </c>
    </row>
    <row r="204" spans="1:1">
      <c r="A204" s="1" t="s">
        <v>117</v>
      </c>
    </row>
    <row r="205" spans="1:1">
      <c r="A205" t="s">
        <v>117</v>
      </c>
    </row>
    <row r="206" spans="1:1">
      <c r="A206" s="1" t="s">
        <v>45</v>
      </c>
    </row>
    <row r="207" spans="1:7">
      <c r="A207" s="1" t="s">
        <v>46</v>
      </c>
      <c r="B207" s="1" t="s">
        <v>47</v>
      </c>
      <c r="C207" s="1" t="s">
        <v>48</v>
      </c>
      <c r="D207" s="1" t="s">
        <v>49</v>
      </c>
      <c r="E207" s="1" t="s">
        <v>50</v>
      </c>
      <c r="F207" s="1" t="s">
        <v>51</v>
      </c>
      <c r="G207" s="1" t="s">
        <v>52</v>
      </c>
    </row>
    <row r="208" spans="1:7">
      <c r="A208" s="2">
        <v>33998</v>
      </c>
      <c r="B208" s="2">
        <v>34004</v>
      </c>
      <c r="C208">
        <v>333</v>
      </c>
      <c r="D208">
        <v>328.5</v>
      </c>
      <c r="E208" s="2">
        <v>33998</v>
      </c>
      <c r="F208" s="2">
        <v>34005</v>
      </c>
      <c r="G208" t="s">
        <v>104</v>
      </c>
    </row>
    <row r="209" spans="1:1">
      <c r="A209" s="1" t="s">
        <v>54</v>
      </c>
    </row>
    <row r="210" spans="1:3">
      <c r="A210" s="1" t="s">
        <v>37</v>
      </c>
      <c r="B210" s="1" t="s">
        <v>38</v>
      </c>
      <c r="C210" s="1" t="s">
        <v>39</v>
      </c>
    </row>
    <row r="211" spans="1:3">
      <c r="A211" s="3">
        <v>33998</v>
      </c>
      <c r="B211">
        <v>333</v>
      </c>
      <c r="C211">
        <v>330.6</v>
      </c>
    </row>
    <row r="212" spans="1:3">
      <c r="A212" s="3">
        <v>34001</v>
      </c>
      <c r="B212">
        <v>331.2</v>
      </c>
      <c r="C212">
        <v>330.1</v>
      </c>
    </row>
    <row r="213" spans="1:3">
      <c r="A213" s="3">
        <v>34002</v>
      </c>
      <c r="B213">
        <v>331.1</v>
      </c>
      <c r="C213">
        <v>330</v>
      </c>
    </row>
    <row r="214" spans="1:3">
      <c r="A214" s="3">
        <v>34003</v>
      </c>
      <c r="B214">
        <v>330.2</v>
      </c>
      <c r="C214">
        <v>329.1</v>
      </c>
    </row>
    <row r="215" spans="1:3">
      <c r="A215" s="3">
        <v>34004</v>
      </c>
      <c r="B215">
        <v>329.3</v>
      </c>
      <c r="C215">
        <v>328.5</v>
      </c>
    </row>
    <row r="216" spans="1:1">
      <c r="A216" s="1" t="s">
        <v>55</v>
      </c>
    </row>
    <row r="217" spans="1:1">
      <c r="A217" s="1" t="s">
        <v>56</v>
      </c>
    </row>
    <row r="218" spans="1:1">
      <c r="A218">
        <v>337.5</v>
      </c>
    </row>
    <row r="219" spans="1:1">
      <c r="A219">
        <v>336.438</v>
      </c>
    </row>
    <row r="220" spans="1:1">
      <c r="A220">
        <v>335.781</v>
      </c>
    </row>
    <row r="221" spans="1:1">
      <c r="A221">
        <v>335.25</v>
      </c>
    </row>
    <row r="222" spans="1:1">
      <c r="A222">
        <v>334.719</v>
      </c>
    </row>
    <row r="223" spans="1:1">
      <c r="A223">
        <v>334.062</v>
      </c>
    </row>
    <row r="224" spans="1:1">
      <c r="A224">
        <v>333</v>
      </c>
    </row>
    <row r="225" spans="1:1">
      <c r="A225">
        <v>331.938</v>
      </c>
    </row>
    <row r="226" spans="1:1">
      <c r="A226">
        <v>331.281</v>
      </c>
    </row>
    <row r="227" spans="1:1">
      <c r="A227">
        <v>330.75</v>
      </c>
    </row>
    <row r="228" spans="1:1">
      <c r="A228">
        <v>330.219</v>
      </c>
    </row>
    <row r="229" spans="1:1">
      <c r="A229">
        <v>329.463</v>
      </c>
    </row>
    <row r="230" spans="1:1">
      <c r="A230">
        <v>328.5</v>
      </c>
    </row>
    <row r="231" spans="1:1">
      <c r="A231">
        <v>327.438</v>
      </c>
    </row>
    <row r="232" spans="1:1">
      <c r="A232">
        <v>326.781</v>
      </c>
    </row>
    <row r="233" spans="1:1">
      <c r="A233">
        <v>326.25</v>
      </c>
    </row>
    <row r="234" spans="1:1">
      <c r="A234">
        <v>325.719</v>
      </c>
    </row>
    <row r="235" spans="1:1">
      <c r="A235">
        <v>325.062</v>
      </c>
    </row>
    <row r="236" spans="1:1">
      <c r="A236">
        <v>324</v>
      </c>
    </row>
    <row r="237" spans="1:1">
      <c r="A237" s="1" t="s">
        <v>57</v>
      </c>
    </row>
    <row r="238" spans="1:6">
      <c r="A238" s="1" t="s">
        <v>58</v>
      </c>
      <c r="B238" s="1" t="s">
        <v>59</v>
      </c>
      <c r="C238" s="1" t="s">
        <v>60</v>
      </c>
      <c r="D238" s="1" t="s">
        <v>61</v>
      </c>
      <c r="E238" s="1" t="s">
        <v>62</v>
      </c>
      <c r="F238" s="1" t="s">
        <v>63</v>
      </c>
    </row>
    <row r="239" spans="1:6">
      <c r="A239">
        <v>333</v>
      </c>
      <c r="B239">
        <v>331.938</v>
      </c>
      <c r="C239">
        <v>331.281</v>
      </c>
      <c r="D239">
        <v>330.75</v>
      </c>
      <c r="E239">
        <v>330.219</v>
      </c>
      <c r="F239">
        <v>329.463</v>
      </c>
    </row>
    <row r="240" spans="1:6">
      <c r="A240">
        <v>332.749368</v>
      </c>
      <c r="B240">
        <v>331.782948</v>
      </c>
      <c r="C240">
        <v>331.155684</v>
      </c>
      <c r="D240">
        <v>330.624684</v>
      </c>
      <c r="E240">
        <v>330.040584</v>
      </c>
      <c r="F240">
        <v>329.235732</v>
      </c>
    </row>
    <row r="241" spans="1:6">
      <c r="A241">
        <v>332.594316</v>
      </c>
      <c r="B241">
        <v>331.687026</v>
      </c>
      <c r="C241">
        <v>331.078158</v>
      </c>
      <c r="D241">
        <v>330.547158</v>
      </c>
      <c r="E241">
        <v>329.930208</v>
      </c>
      <c r="F241">
        <v>329.095134</v>
      </c>
    </row>
    <row r="242" spans="1:6">
      <c r="A242">
        <v>332.469</v>
      </c>
      <c r="B242">
        <v>331.6095</v>
      </c>
      <c r="C242">
        <v>331.0155</v>
      </c>
      <c r="D242">
        <v>330.4845</v>
      </c>
      <c r="E242">
        <v>329.841</v>
      </c>
      <c r="F242">
        <v>328.9815</v>
      </c>
    </row>
    <row r="243" spans="1:6">
      <c r="A243">
        <v>332.343684</v>
      </c>
      <c r="B243">
        <v>331.531974</v>
      </c>
      <c r="C243">
        <v>330.952842</v>
      </c>
      <c r="D243">
        <v>330.421842</v>
      </c>
      <c r="E243">
        <v>329.751792</v>
      </c>
      <c r="F243">
        <v>328.867866</v>
      </c>
    </row>
    <row r="244" spans="1:6">
      <c r="A244">
        <v>332.165268</v>
      </c>
      <c r="B244">
        <v>331.421598</v>
      </c>
      <c r="C244">
        <v>330.863634</v>
      </c>
      <c r="D244">
        <v>330.332634</v>
      </c>
      <c r="E244">
        <v>329.624784</v>
      </c>
      <c r="F244">
        <v>328.706082</v>
      </c>
    </row>
    <row r="245" spans="1:6">
      <c r="A245">
        <v>331.938</v>
      </c>
      <c r="B245">
        <v>331.281</v>
      </c>
      <c r="C245">
        <v>330.75</v>
      </c>
      <c r="D245">
        <v>330.219</v>
      </c>
      <c r="E245">
        <v>329.463</v>
      </c>
      <c r="F245">
        <v>328.5</v>
      </c>
    </row>
    <row r="246" spans="1:1">
      <c r="A246" s="1" t="s">
        <v>64</v>
      </c>
    </row>
    <row r="247" spans="1:3">
      <c r="A247" s="1" t="s">
        <v>37</v>
      </c>
      <c r="B247" s="1" t="s">
        <v>38</v>
      </c>
      <c r="C247" s="1" t="s">
        <v>39</v>
      </c>
    </row>
    <row r="248" spans="1:3">
      <c r="A248" s="3">
        <v>34008</v>
      </c>
      <c r="B248">
        <v>329.4</v>
      </c>
      <c r="C248">
        <v>328.3</v>
      </c>
    </row>
    <row r="249" spans="1:3">
      <c r="A249" s="3">
        <v>34009</v>
      </c>
      <c r="B249">
        <v>329.8</v>
      </c>
      <c r="C249">
        <v>329</v>
      </c>
    </row>
    <row r="250" spans="1:3">
      <c r="A250" s="3">
        <v>34010</v>
      </c>
      <c r="B250">
        <v>333.8</v>
      </c>
      <c r="C250">
        <v>330.3</v>
      </c>
    </row>
    <row r="251" spans="1:3">
      <c r="A251" s="3">
        <v>34011</v>
      </c>
      <c r="B251">
        <v>334.6</v>
      </c>
      <c r="C251">
        <v>332.2</v>
      </c>
    </row>
    <row r="252" spans="1:3">
      <c r="A252" s="3">
        <v>34012</v>
      </c>
      <c r="B252">
        <v>331.8</v>
      </c>
      <c r="C252">
        <v>328.8</v>
      </c>
    </row>
    <row r="253" spans="1:1">
      <c r="A253" s="1" t="s">
        <v>65</v>
      </c>
    </row>
    <row r="254" spans="1:21">
      <c r="A254" s="1" t="s">
        <v>66</v>
      </c>
      <c r="B254" s="1" t="s">
        <v>51</v>
      </c>
      <c r="C254" s="1" t="s">
        <v>52</v>
      </c>
      <c r="D254" s="1" t="s">
        <v>67</v>
      </c>
      <c r="E254" s="1" t="s">
        <v>68</v>
      </c>
      <c r="F254" s="1" t="s">
        <v>48</v>
      </c>
      <c r="G254" s="1" t="s">
        <v>49</v>
      </c>
      <c r="H254" s="1" t="s">
        <v>69</v>
      </c>
      <c r="I254" s="1" t="s">
        <v>70</v>
      </c>
      <c r="J254" s="1" t="s">
        <v>71</v>
      </c>
      <c r="K254" s="1" t="s">
        <v>72</v>
      </c>
      <c r="L254" s="1" t="s">
        <v>73</v>
      </c>
      <c r="M254" s="1" t="s">
        <v>74</v>
      </c>
      <c r="N254" s="1" t="s">
        <v>75</v>
      </c>
      <c r="O254" s="1" t="s">
        <v>76</v>
      </c>
      <c r="P254" s="1" t="s">
        <v>77</v>
      </c>
      <c r="Q254" s="1" t="s">
        <v>78</v>
      </c>
      <c r="R254" s="1" t="s">
        <v>79</v>
      </c>
      <c r="S254" s="1" t="s">
        <v>80</v>
      </c>
      <c r="T254" s="1" t="s">
        <v>81</v>
      </c>
      <c r="U254" s="1" t="s">
        <v>82</v>
      </c>
    </row>
    <row r="255" spans="1:21">
      <c r="A255" t="s">
        <v>104</v>
      </c>
      <c r="B255" s="2">
        <v>34005</v>
      </c>
      <c r="C255" t="s">
        <v>104</v>
      </c>
      <c r="D255" s="2">
        <v>33998</v>
      </c>
      <c r="E255" s="2">
        <v>34004</v>
      </c>
      <c r="F255">
        <v>333</v>
      </c>
      <c r="G255">
        <v>328.5</v>
      </c>
      <c r="H255" s="2">
        <v>34008</v>
      </c>
      <c r="I255" s="2">
        <v>34012</v>
      </c>
      <c r="J255" t="s">
        <v>104</v>
      </c>
      <c r="K255">
        <v>1</v>
      </c>
      <c r="L255" t="s">
        <v>83</v>
      </c>
      <c r="M255">
        <v>331.938</v>
      </c>
      <c r="N255" t="s">
        <v>118</v>
      </c>
      <c r="O255" t="s">
        <v>85</v>
      </c>
      <c r="P255" t="s">
        <v>85</v>
      </c>
      <c r="Q255" t="s">
        <v>85</v>
      </c>
      <c r="R255" t="s">
        <v>85</v>
      </c>
      <c r="S255" t="s">
        <v>83</v>
      </c>
      <c r="T255" t="s">
        <v>83</v>
      </c>
      <c r="U255">
        <v>-1.31</v>
      </c>
    </row>
    <row r="256" spans="1:21">
      <c r="A256" t="s">
        <v>104</v>
      </c>
      <c r="B256" s="2">
        <v>34005</v>
      </c>
      <c r="C256" t="s">
        <v>104</v>
      </c>
      <c r="D256" s="2">
        <v>33998</v>
      </c>
      <c r="E256" s="2">
        <v>34004</v>
      </c>
      <c r="F256">
        <v>333</v>
      </c>
      <c r="G256">
        <v>328.5</v>
      </c>
      <c r="H256" s="2">
        <v>34008</v>
      </c>
      <c r="I256" s="2">
        <v>34012</v>
      </c>
      <c r="J256" t="s">
        <v>104</v>
      </c>
      <c r="K256">
        <v>2</v>
      </c>
      <c r="L256">
        <v>1</v>
      </c>
      <c r="M256">
        <v>331.281</v>
      </c>
      <c r="N256" t="s">
        <v>119</v>
      </c>
      <c r="O256" t="s">
        <v>85</v>
      </c>
      <c r="P256" t="s">
        <v>85</v>
      </c>
      <c r="Q256" t="s">
        <v>85</v>
      </c>
      <c r="R256" t="s">
        <v>85</v>
      </c>
      <c r="S256" t="s">
        <v>83</v>
      </c>
      <c r="T256" t="s">
        <v>83</v>
      </c>
      <c r="U256">
        <v>-0.66</v>
      </c>
    </row>
    <row r="257" spans="1:21">
      <c r="A257" t="s">
        <v>104</v>
      </c>
      <c r="B257" s="2">
        <v>34005</v>
      </c>
      <c r="C257" t="s">
        <v>104</v>
      </c>
      <c r="D257" s="2">
        <v>33998</v>
      </c>
      <c r="E257" s="2">
        <v>34004</v>
      </c>
      <c r="F257">
        <v>333</v>
      </c>
      <c r="G257">
        <v>328.5</v>
      </c>
      <c r="H257" s="2">
        <v>34008</v>
      </c>
      <c r="I257" s="2">
        <v>34012</v>
      </c>
      <c r="J257" t="s">
        <v>104</v>
      </c>
      <c r="K257">
        <v>2</v>
      </c>
      <c r="L257">
        <v>2</v>
      </c>
      <c r="M257">
        <v>331.281</v>
      </c>
      <c r="N257" t="s">
        <v>120</v>
      </c>
      <c r="O257" t="s">
        <v>85</v>
      </c>
      <c r="P257" t="s">
        <v>85</v>
      </c>
      <c r="Q257" t="s">
        <v>85</v>
      </c>
      <c r="R257" t="s">
        <v>85</v>
      </c>
      <c r="S257" t="s">
        <v>83</v>
      </c>
      <c r="T257" t="s">
        <v>83</v>
      </c>
      <c r="U257">
        <v>-1.24</v>
      </c>
    </row>
    <row r="258" spans="1:21">
      <c r="A258" t="s">
        <v>104</v>
      </c>
      <c r="B258" s="2">
        <v>34005</v>
      </c>
      <c r="C258" t="s">
        <v>104</v>
      </c>
      <c r="D258" s="2">
        <v>33998</v>
      </c>
      <c r="E258" s="2">
        <v>34004</v>
      </c>
      <c r="F258">
        <v>333</v>
      </c>
      <c r="G258">
        <v>328.5</v>
      </c>
      <c r="H258" s="2">
        <v>34008</v>
      </c>
      <c r="I258" s="2">
        <v>34012</v>
      </c>
      <c r="J258" t="s">
        <v>104</v>
      </c>
      <c r="K258">
        <v>3</v>
      </c>
      <c r="L258">
        <v>1</v>
      </c>
      <c r="M258">
        <v>330.219</v>
      </c>
      <c r="N258" t="s">
        <v>121</v>
      </c>
      <c r="O258" t="s">
        <v>85</v>
      </c>
      <c r="P258" t="s">
        <v>85</v>
      </c>
      <c r="Q258" t="s">
        <v>85</v>
      </c>
      <c r="R258" t="s">
        <v>85</v>
      </c>
      <c r="S258" t="s">
        <v>83</v>
      </c>
      <c r="T258" t="s">
        <v>83</v>
      </c>
      <c r="U258">
        <v>-1.24</v>
      </c>
    </row>
    <row r="259" spans="1:21">
      <c r="A259" t="s">
        <v>104</v>
      </c>
      <c r="B259" s="2">
        <v>34005</v>
      </c>
      <c r="C259" t="s">
        <v>104</v>
      </c>
      <c r="D259" s="2">
        <v>33998</v>
      </c>
      <c r="E259" s="2">
        <v>34004</v>
      </c>
      <c r="F259">
        <v>333</v>
      </c>
      <c r="G259">
        <v>328.5</v>
      </c>
      <c r="H259" s="2">
        <v>34008</v>
      </c>
      <c r="I259" s="2">
        <v>34012</v>
      </c>
      <c r="J259" t="s">
        <v>104</v>
      </c>
      <c r="K259">
        <v>3</v>
      </c>
      <c r="L259">
        <v>2</v>
      </c>
      <c r="M259">
        <v>330.219</v>
      </c>
      <c r="N259" t="s">
        <v>122</v>
      </c>
      <c r="O259" t="s">
        <v>85</v>
      </c>
      <c r="P259" t="s">
        <v>85</v>
      </c>
      <c r="Q259" t="s">
        <v>85</v>
      </c>
      <c r="R259" t="s">
        <v>85</v>
      </c>
      <c r="S259" t="s">
        <v>83</v>
      </c>
      <c r="T259" t="s">
        <v>83</v>
      </c>
      <c r="U259">
        <v>-1.24</v>
      </c>
    </row>
    <row r="260" spans="1:21">
      <c r="A260" t="s">
        <v>104</v>
      </c>
      <c r="B260" s="2">
        <v>34005</v>
      </c>
      <c r="C260" t="s">
        <v>104</v>
      </c>
      <c r="D260" s="2">
        <v>33998</v>
      </c>
      <c r="E260" s="2">
        <v>34004</v>
      </c>
      <c r="F260">
        <v>333</v>
      </c>
      <c r="G260">
        <v>328.5</v>
      </c>
      <c r="H260" s="2">
        <v>34008</v>
      </c>
      <c r="I260" s="2">
        <v>34012</v>
      </c>
      <c r="J260" t="s">
        <v>104</v>
      </c>
      <c r="K260">
        <v>4</v>
      </c>
      <c r="L260" t="s">
        <v>83</v>
      </c>
      <c r="M260">
        <v>329.463</v>
      </c>
      <c r="N260" t="s">
        <v>123</v>
      </c>
      <c r="O260" t="s">
        <v>85</v>
      </c>
      <c r="P260" t="s">
        <v>85</v>
      </c>
      <c r="Q260" t="s">
        <v>85</v>
      </c>
      <c r="R260" t="s">
        <v>85</v>
      </c>
      <c r="S260" t="s">
        <v>83</v>
      </c>
      <c r="T260" t="s">
        <v>83</v>
      </c>
      <c r="U260">
        <v>-0.96</v>
      </c>
    </row>
    <row r="261" spans="1:1">
      <c r="A261" s="1" t="s">
        <v>92</v>
      </c>
    </row>
    <row r="262" spans="1:4">
      <c r="A262" s="1" t="s">
        <v>93</v>
      </c>
      <c r="B262" s="1" t="s">
        <v>94</v>
      </c>
      <c r="C262" s="1" t="s">
        <v>95</v>
      </c>
      <c r="D262" s="1" t="s">
        <v>96</v>
      </c>
    </row>
    <row r="263" spans="1:4">
      <c r="A263" t="s">
        <v>97</v>
      </c>
      <c r="B263">
        <v>331.938</v>
      </c>
      <c r="C263">
        <v>334.719</v>
      </c>
      <c r="D263">
        <v>330.624684</v>
      </c>
    </row>
    <row r="264" spans="1:4">
      <c r="A264" t="s">
        <v>98</v>
      </c>
      <c r="B264">
        <v>331.281</v>
      </c>
      <c r="C264">
        <v>333</v>
      </c>
      <c r="D264">
        <v>330.624684</v>
      </c>
    </row>
    <row r="265" spans="1:4">
      <c r="A265" t="s">
        <v>99</v>
      </c>
      <c r="B265">
        <v>331.281</v>
      </c>
      <c r="C265">
        <v>334.062</v>
      </c>
      <c r="D265">
        <v>330.040584</v>
      </c>
    </row>
    <row r="266" spans="1:4">
      <c r="A266" t="s">
        <v>100</v>
      </c>
      <c r="B266">
        <v>330.219</v>
      </c>
      <c r="C266">
        <v>331.938</v>
      </c>
      <c r="D266">
        <v>328.9815</v>
      </c>
    </row>
    <row r="267" spans="1:4">
      <c r="A267" t="s">
        <v>101</v>
      </c>
      <c r="B267">
        <v>330.219</v>
      </c>
      <c r="C267">
        <v>331.281</v>
      </c>
      <c r="D267">
        <v>328.9815</v>
      </c>
    </row>
    <row r="268" spans="1:4">
      <c r="A268" t="s">
        <v>102</v>
      </c>
      <c r="B268">
        <v>329.463</v>
      </c>
      <c r="C268">
        <v>330.75</v>
      </c>
      <c r="D268">
        <v>328.5</v>
      </c>
    </row>
    <row r="269" spans="1:1">
      <c r="A269" s="1" t="s">
        <v>124</v>
      </c>
    </row>
    <row r="270" spans="1:1">
      <c r="A270" t="s">
        <v>124</v>
      </c>
    </row>
    <row r="271" spans="1:1">
      <c r="A271" s="1" t="s">
        <v>45</v>
      </c>
    </row>
    <row r="272" spans="1:7">
      <c r="A272" s="1" t="s">
        <v>46</v>
      </c>
      <c r="B272" s="1" t="s">
        <v>47</v>
      </c>
      <c r="C272" s="1" t="s">
        <v>48</v>
      </c>
      <c r="D272" s="1" t="s">
        <v>49</v>
      </c>
      <c r="E272" s="1" t="s">
        <v>50</v>
      </c>
      <c r="F272" s="1" t="s">
        <v>51</v>
      </c>
      <c r="G272" s="1" t="s">
        <v>52</v>
      </c>
    </row>
    <row r="273" spans="1:7">
      <c r="A273" s="2">
        <v>34005</v>
      </c>
      <c r="B273" s="2">
        <v>34011</v>
      </c>
      <c r="C273">
        <v>334.6</v>
      </c>
      <c r="D273">
        <v>328.3</v>
      </c>
      <c r="E273" s="2">
        <v>34005</v>
      </c>
      <c r="F273" s="2">
        <v>34012</v>
      </c>
      <c r="G273" t="s">
        <v>104</v>
      </c>
    </row>
    <row r="274" spans="1:1">
      <c r="A274" s="1" t="s">
        <v>54</v>
      </c>
    </row>
    <row r="275" spans="1:3">
      <c r="A275" s="1" t="s">
        <v>37</v>
      </c>
      <c r="B275" s="1" t="s">
        <v>38</v>
      </c>
      <c r="C275" s="1" t="s">
        <v>39</v>
      </c>
    </row>
    <row r="276" spans="1:3">
      <c r="A276" s="3">
        <v>34005</v>
      </c>
      <c r="B276">
        <v>329.3</v>
      </c>
      <c r="C276">
        <v>328.6</v>
      </c>
    </row>
    <row r="277" spans="1:3">
      <c r="A277" s="3">
        <v>34008</v>
      </c>
      <c r="B277">
        <v>329.4</v>
      </c>
      <c r="C277">
        <v>328.3</v>
      </c>
    </row>
    <row r="278" spans="1:3">
      <c r="A278" s="3">
        <v>34009</v>
      </c>
      <c r="B278">
        <v>329.8</v>
      </c>
      <c r="C278">
        <v>329</v>
      </c>
    </row>
    <row r="279" spans="1:3">
      <c r="A279" s="3">
        <v>34010</v>
      </c>
      <c r="B279">
        <v>333.8</v>
      </c>
      <c r="C279">
        <v>330.3</v>
      </c>
    </row>
    <row r="280" spans="1:3">
      <c r="A280" s="3">
        <v>34011</v>
      </c>
      <c r="B280">
        <v>334.6</v>
      </c>
      <c r="C280">
        <v>332.2</v>
      </c>
    </row>
    <row r="281" spans="1:1">
      <c r="A281" s="1" t="s">
        <v>55</v>
      </c>
    </row>
    <row r="282" spans="1:1">
      <c r="A282" s="1" t="s">
        <v>56</v>
      </c>
    </row>
    <row r="283" spans="1:1">
      <c r="A283">
        <v>340.9</v>
      </c>
    </row>
    <row r="284" spans="1:1">
      <c r="A284">
        <v>339.4132</v>
      </c>
    </row>
    <row r="285" spans="1:1">
      <c r="A285">
        <v>338.4934</v>
      </c>
    </row>
    <row r="286" spans="1:1">
      <c r="A286">
        <v>337.75</v>
      </c>
    </row>
    <row r="287" spans="1:1">
      <c r="A287">
        <v>337.0066</v>
      </c>
    </row>
    <row r="288" spans="1:1">
      <c r="A288">
        <v>336.0868</v>
      </c>
    </row>
    <row r="289" spans="1:1">
      <c r="A289">
        <v>334.6</v>
      </c>
    </row>
    <row r="290" spans="1:1">
      <c r="A290">
        <v>333.1132</v>
      </c>
    </row>
    <row r="291" spans="1:1">
      <c r="A291">
        <v>332.1934</v>
      </c>
    </row>
    <row r="292" spans="1:1">
      <c r="A292">
        <v>331.45</v>
      </c>
    </row>
    <row r="293" spans="1:1">
      <c r="A293">
        <v>330.7066</v>
      </c>
    </row>
    <row r="294" spans="1:1">
      <c r="A294">
        <v>329.6482</v>
      </c>
    </row>
    <row r="295" spans="1:1">
      <c r="A295">
        <v>328.3</v>
      </c>
    </row>
    <row r="296" spans="1:1">
      <c r="A296">
        <v>326.8132</v>
      </c>
    </row>
    <row r="297" spans="1:1">
      <c r="A297">
        <v>325.8934</v>
      </c>
    </row>
    <row r="298" spans="1:1">
      <c r="A298">
        <v>325.15</v>
      </c>
    </row>
    <row r="299" spans="1:1">
      <c r="A299">
        <v>324.4066</v>
      </c>
    </row>
    <row r="300" spans="1:1">
      <c r="A300">
        <v>323.4868</v>
      </c>
    </row>
    <row r="301" spans="1:1">
      <c r="A301">
        <v>322</v>
      </c>
    </row>
    <row r="302" spans="1:1">
      <c r="A302" s="1" t="s">
        <v>57</v>
      </c>
    </row>
    <row r="303" spans="1:6">
      <c r="A303" s="1" t="s">
        <v>58</v>
      </c>
      <c r="B303" s="1" t="s">
        <v>59</v>
      </c>
      <c r="C303" s="1" t="s">
        <v>60</v>
      </c>
      <c r="D303" s="1" t="s">
        <v>61</v>
      </c>
      <c r="E303" s="1" t="s">
        <v>62</v>
      </c>
      <c r="F303" s="1" t="s">
        <v>63</v>
      </c>
    </row>
    <row r="304" spans="1:6">
      <c r="A304">
        <v>334.6</v>
      </c>
      <c r="B304">
        <v>333.1132</v>
      </c>
      <c r="C304">
        <v>332.1934</v>
      </c>
      <c r="D304">
        <v>331.45</v>
      </c>
      <c r="E304">
        <v>330.7066</v>
      </c>
      <c r="F304">
        <v>329.6482</v>
      </c>
    </row>
    <row r="305" spans="1:6">
      <c r="A305">
        <v>334.2491152</v>
      </c>
      <c r="B305">
        <v>332.8961272</v>
      </c>
      <c r="C305">
        <v>332.0179576</v>
      </c>
      <c r="D305">
        <v>331.2745576</v>
      </c>
      <c r="E305">
        <v>330.4568176</v>
      </c>
      <c r="F305">
        <v>329.3300248</v>
      </c>
    </row>
    <row r="306" spans="1:6">
      <c r="A306">
        <v>334.0320424</v>
      </c>
      <c r="B306">
        <v>332.7618364</v>
      </c>
      <c r="C306">
        <v>331.9094212</v>
      </c>
      <c r="D306">
        <v>331.1660212</v>
      </c>
      <c r="E306">
        <v>330.3022912</v>
      </c>
      <c r="F306">
        <v>329.1331876</v>
      </c>
    </row>
    <row r="307" spans="1:6">
      <c r="A307">
        <v>333.8566</v>
      </c>
      <c r="B307">
        <v>332.6533</v>
      </c>
      <c r="C307">
        <v>331.8217</v>
      </c>
      <c r="D307">
        <v>331.0783</v>
      </c>
      <c r="E307">
        <v>330.1774</v>
      </c>
      <c r="F307">
        <v>328.9741</v>
      </c>
    </row>
    <row r="308" spans="1:6">
      <c r="A308">
        <v>333.6811576</v>
      </c>
      <c r="B308">
        <v>332.5447636</v>
      </c>
      <c r="C308">
        <v>331.7339788</v>
      </c>
      <c r="D308">
        <v>330.9905788</v>
      </c>
      <c r="E308">
        <v>330.0525088</v>
      </c>
      <c r="F308">
        <v>328.8150124</v>
      </c>
    </row>
    <row r="309" spans="1:6">
      <c r="A309">
        <v>333.4313752</v>
      </c>
      <c r="B309">
        <v>332.3902372</v>
      </c>
      <c r="C309">
        <v>331.6090876</v>
      </c>
      <c r="D309">
        <v>330.8656876</v>
      </c>
      <c r="E309">
        <v>329.8746976</v>
      </c>
      <c r="F309">
        <v>328.5885148</v>
      </c>
    </row>
    <row r="310" spans="1:6">
      <c r="A310">
        <v>333.1132</v>
      </c>
      <c r="B310">
        <v>332.1934</v>
      </c>
      <c r="C310">
        <v>331.45</v>
      </c>
      <c r="D310">
        <v>330.7066</v>
      </c>
      <c r="E310">
        <v>329.6482</v>
      </c>
      <c r="F310">
        <v>328.3</v>
      </c>
    </row>
    <row r="311" spans="1:1">
      <c r="A311" s="1" t="s">
        <v>64</v>
      </c>
    </row>
    <row r="312" spans="1:3">
      <c r="A312" s="1" t="s">
        <v>37</v>
      </c>
      <c r="B312" s="1" t="s">
        <v>38</v>
      </c>
      <c r="C312" s="1" t="s">
        <v>39</v>
      </c>
    </row>
    <row r="313" spans="1:3">
      <c r="A313" s="3">
        <v>34015</v>
      </c>
      <c r="B313">
        <v>331.8</v>
      </c>
      <c r="C313">
        <v>328.8</v>
      </c>
    </row>
    <row r="314" spans="1:3">
      <c r="A314" s="3">
        <v>34016</v>
      </c>
      <c r="B314">
        <v>334.4</v>
      </c>
      <c r="C314">
        <v>330.5</v>
      </c>
    </row>
    <row r="315" spans="1:3">
      <c r="A315" s="3">
        <v>34017</v>
      </c>
      <c r="B315">
        <v>332.9</v>
      </c>
      <c r="C315">
        <v>330.8</v>
      </c>
    </row>
    <row r="316" spans="1:3">
      <c r="A316" s="3">
        <v>34018</v>
      </c>
      <c r="B316">
        <v>332.8</v>
      </c>
      <c r="C316">
        <v>329.8</v>
      </c>
    </row>
    <row r="317" spans="1:3">
      <c r="A317" s="3">
        <v>34019</v>
      </c>
      <c r="B317">
        <v>332.5</v>
      </c>
      <c r="C317">
        <v>330.8</v>
      </c>
    </row>
    <row r="318" spans="1:1">
      <c r="A318" s="1" t="s">
        <v>65</v>
      </c>
    </row>
    <row r="319" spans="1:21">
      <c r="A319" s="1" t="s">
        <v>66</v>
      </c>
      <c r="B319" s="1" t="s">
        <v>51</v>
      </c>
      <c r="C319" s="1" t="s">
        <v>52</v>
      </c>
      <c r="D319" s="1" t="s">
        <v>67</v>
      </c>
      <c r="E319" s="1" t="s">
        <v>68</v>
      </c>
      <c r="F319" s="1" t="s">
        <v>48</v>
      </c>
      <c r="G319" s="1" t="s">
        <v>49</v>
      </c>
      <c r="H319" s="1" t="s">
        <v>69</v>
      </c>
      <c r="I319" s="1" t="s">
        <v>70</v>
      </c>
      <c r="J319" s="1" t="s">
        <v>71</v>
      </c>
      <c r="K319" s="1" t="s">
        <v>72</v>
      </c>
      <c r="L319" s="1" t="s">
        <v>73</v>
      </c>
      <c r="M319" s="1" t="s">
        <v>74</v>
      </c>
      <c r="N319" s="1" t="s">
        <v>75</v>
      </c>
      <c r="O319" s="1" t="s">
        <v>76</v>
      </c>
      <c r="P319" s="1" t="s">
        <v>77</v>
      </c>
      <c r="Q319" s="1" t="s">
        <v>78</v>
      </c>
      <c r="R319" s="1" t="s">
        <v>79</v>
      </c>
      <c r="S319" s="1" t="s">
        <v>80</v>
      </c>
      <c r="T319" s="1" t="s">
        <v>81</v>
      </c>
      <c r="U319" s="1" t="s">
        <v>82</v>
      </c>
    </row>
    <row r="320" spans="1:21">
      <c r="A320" t="s">
        <v>104</v>
      </c>
      <c r="B320" s="2">
        <v>34012</v>
      </c>
      <c r="C320" t="s">
        <v>104</v>
      </c>
      <c r="D320" s="2">
        <v>34005</v>
      </c>
      <c r="E320" s="2">
        <v>34011</v>
      </c>
      <c r="F320">
        <v>334.6</v>
      </c>
      <c r="G320">
        <v>328.3</v>
      </c>
      <c r="H320" s="2">
        <v>34015</v>
      </c>
      <c r="I320" s="2">
        <v>34019</v>
      </c>
      <c r="J320" t="s">
        <v>104</v>
      </c>
      <c r="K320">
        <v>1</v>
      </c>
      <c r="L320" t="s">
        <v>83</v>
      </c>
      <c r="M320">
        <v>333.1132</v>
      </c>
      <c r="N320" t="s">
        <v>125</v>
      </c>
      <c r="O320" t="s">
        <v>85</v>
      </c>
      <c r="P320" t="s">
        <v>85</v>
      </c>
      <c r="Q320" t="s">
        <v>85</v>
      </c>
      <c r="R320" t="s">
        <v>85</v>
      </c>
      <c r="S320" t="s">
        <v>83</v>
      </c>
      <c r="T320" t="s">
        <v>83</v>
      </c>
      <c r="U320">
        <v>-1.84</v>
      </c>
    </row>
    <row r="321" spans="1:21">
      <c r="A321" t="s">
        <v>104</v>
      </c>
      <c r="B321" s="2">
        <v>34012</v>
      </c>
      <c r="C321" t="s">
        <v>104</v>
      </c>
      <c r="D321" s="2">
        <v>34005</v>
      </c>
      <c r="E321" s="2">
        <v>34011</v>
      </c>
      <c r="F321">
        <v>334.6</v>
      </c>
      <c r="G321">
        <v>328.3</v>
      </c>
      <c r="H321" s="2">
        <v>34015</v>
      </c>
      <c r="I321" s="2">
        <v>34019</v>
      </c>
      <c r="J321" t="s">
        <v>104</v>
      </c>
      <c r="K321">
        <v>2</v>
      </c>
      <c r="L321">
        <v>1</v>
      </c>
      <c r="M321">
        <v>332.1934</v>
      </c>
      <c r="N321" t="s">
        <v>126</v>
      </c>
      <c r="O321" t="s">
        <v>85</v>
      </c>
      <c r="P321" t="s">
        <v>85</v>
      </c>
      <c r="Q321" t="s">
        <v>85</v>
      </c>
      <c r="R321" t="s">
        <v>85</v>
      </c>
      <c r="S321" t="s">
        <v>83</v>
      </c>
      <c r="T321" t="s">
        <v>83</v>
      </c>
      <c r="U321">
        <v>-0.92</v>
      </c>
    </row>
    <row r="322" spans="1:21">
      <c r="A322" t="s">
        <v>104</v>
      </c>
      <c r="B322" s="2">
        <v>34012</v>
      </c>
      <c r="C322" t="s">
        <v>104</v>
      </c>
      <c r="D322" s="2">
        <v>34005</v>
      </c>
      <c r="E322" s="2">
        <v>34011</v>
      </c>
      <c r="F322">
        <v>334.6</v>
      </c>
      <c r="G322">
        <v>328.3</v>
      </c>
      <c r="H322" s="2">
        <v>34015</v>
      </c>
      <c r="I322" s="2">
        <v>34019</v>
      </c>
      <c r="J322" t="s">
        <v>104</v>
      </c>
      <c r="K322">
        <v>2</v>
      </c>
      <c r="L322">
        <v>2</v>
      </c>
      <c r="M322">
        <v>332.1934</v>
      </c>
      <c r="N322" t="s">
        <v>127</v>
      </c>
      <c r="O322" t="s">
        <v>85</v>
      </c>
      <c r="P322" t="s">
        <v>85</v>
      </c>
      <c r="Q322" t="s">
        <v>85</v>
      </c>
      <c r="R322" t="s">
        <v>85</v>
      </c>
      <c r="S322" t="s">
        <v>83</v>
      </c>
      <c r="T322" t="s">
        <v>83</v>
      </c>
      <c r="U322">
        <v>-1.74</v>
      </c>
    </row>
    <row r="323" spans="1:21">
      <c r="A323" t="s">
        <v>104</v>
      </c>
      <c r="B323" s="2">
        <v>34012</v>
      </c>
      <c r="C323" t="s">
        <v>104</v>
      </c>
      <c r="D323" s="2">
        <v>34005</v>
      </c>
      <c r="E323" s="2">
        <v>34011</v>
      </c>
      <c r="F323">
        <v>334.6</v>
      </c>
      <c r="G323">
        <v>328.3</v>
      </c>
      <c r="H323" s="2">
        <v>34015</v>
      </c>
      <c r="I323" s="2">
        <v>34019</v>
      </c>
      <c r="J323" t="s">
        <v>104</v>
      </c>
      <c r="K323">
        <v>3</v>
      </c>
      <c r="L323">
        <v>1</v>
      </c>
      <c r="M323">
        <v>330.7066</v>
      </c>
      <c r="N323" t="s">
        <v>128</v>
      </c>
      <c r="O323" t="s">
        <v>85</v>
      </c>
      <c r="P323" t="s">
        <v>85</v>
      </c>
      <c r="Q323" t="s">
        <v>85</v>
      </c>
      <c r="R323" t="s">
        <v>85</v>
      </c>
      <c r="S323" t="s">
        <v>83</v>
      </c>
      <c r="T323" t="s">
        <v>83</v>
      </c>
      <c r="U323">
        <v>-1.73</v>
      </c>
    </row>
    <row r="324" spans="1:21">
      <c r="A324" t="s">
        <v>104</v>
      </c>
      <c r="B324" s="2">
        <v>34012</v>
      </c>
      <c r="C324" t="s">
        <v>104</v>
      </c>
      <c r="D324" s="2">
        <v>34005</v>
      </c>
      <c r="E324" s="2">
        <v>34011</v>
      </c>
      <c r="F324">
        <v>334.6</v>
      </c>
      <c r="G324">
        <v>328.3</v>
      </c>
      <c r="H324" s="2">
        <v>34015</v>
      </c>
      <c r="I324" s="2">
        <v>34019</v>
      </c>
      <c r="J324" t="s">
        <v>104</v>
      </c>
      <c r="K324">
        <v>3</v>
      </c>
      <c r="L324">
        <v>2</v>
      </c>
      <c r="M324">
        <v>330.7066</v>
      </c>
      <c r="N324" t="s">
        <v>129</v>
      </c>
      <c r="O324" t="s">
        <v>85</v>
      </c>
      <c r="P324" t="s">
        <v>85</v>
      </c>
      <c r="Q324" t="s">
        <v>85</v>
      </c>
      <c r="R324" t="s">
        <v>85</v>
      </c>
      <c r="S324" t="s">
        <v>83</v>
      </c>
      <c r="T324" t="s">
        <v>83</v>
      </c>
      <c r="U324">
        <v>-1.73</v>
      </c>
    </row>
    <row r="325" spans="1:21">
      <c r="A325" t="s">
        <v>104</v>
      </c>
      <c r="B325" s="2">
        <v>34012</v>
      </c>
      <c r="C325" t="s">
        <v>104</v>
      </c>
      <c r="D325" s="2">
        <v>34005</v>
      </c>
      <c r="E325" s="2">
        <v>34011</v>
      </c>
      <c r="F325">
        <v>334.6</v>
      </c>
      <c r="G325">
        <v>328.3</v>
      </c>
      <c r="H325" s="2">
        <v>34015</v>
      </c>
      <c r="I325" s="2">
        <v>34019</v>
      </c>
      <c r="J325" t="s">
        <v>104</v>
      </c>
      <c r="K325">
        <v>4</v>
      </c>
      <c r="L325" t="s">
        <v>83</v>
      </c>
      <c r="M325">
        <v>329.6482</v>
      </c>
      <c r="N325" t="s">
        <v>130</v>
      </c>
      <c r="O325" t="s">
        <v>85</v>
      </c>
      <c r="P325" t="s">
        <v>85</v>
      </c>
      <c r="Q325" t="s">
        <v>85</v>
      </c>
      <c r="R325" t="s">
        <v>85</v>
      </c>
      <c r="S325" t="s">
        <v>83</v>
      </c>
      <c r="T325" t="s">
        <v>83</v>
      </c>
      <c r="U325">
        <v>1.8</v>
      </c>
    </row>
    <row r="326" spans="1:1">
      <c r="A326" s="1" t="s">
        <v>92</v>
      </c>
    </row>
    <row r="327" spans="1:4">
      <c r="A327" s="1" t="s">
        <v>93</v>
      </c>
      <c r="B327" s="1" t="s">
        <v>94</v>
      </c>
      <c r="C327" s="1" t="s">
        <v>95</v>
      </c>
      <c r="D327" s="1" t="s">
        <v>96</v>
      </c>
    </row>
    <row r="328" spans="1:4">
      <c r="A328" t="s">
        <v>97</v>
      </c>
      <c r="B328">
        <v>333.1132</v>
      </c>
      <c r="C328">
        <v>337.0066</v>
      </c>
      <c r="D328">
        <v>331.2745576</v>
      </c>
    </row>
    <row r="329" spans="1:4">
      <c r="A329" t="s">
        <v>98</v>
      </c>
      <c r="B329">
        <v>332.1934</v>
      </c>
      <c r="C329">
        <v>334.6</v>
      </c>
      <c r="D329">
        <v>331.2745576</v>
      </c>
    </row>
    <row r="330" spans="1:4">
      <c r="A330" t="s">
        <v>99</v>
      </c>
      <c r="B330">
        <v>332.1934</v>
      </c>
      <c r="C330">
        <v>336.0868</v>
      </c>
      <c r="D330">
        <v>330.4568176</v>
      </c>
    </row>
    <row r="331" spans="1:4">
      <c r="A331" t="s">
        <v>100</v>
      </c>
      <c r="B331">
        <v>330.7066</v>
      </c>
      <c r="C331">
        <v>333.1132</v>
      </c>
      <c r="D331">
        <v>328.9741</v>
      </c>
    </row>
    <row r="332" spans="1:4">
      <c r="A332" t="s">
        <v>101</v>
      </c>
      <c r="B332">
        <v>330.7066</v>
      </c>
      <c r="C332">
        <v>332.1934</v>
      </c>
      <c r="D332">
        <v>328.9741</v>
      </c>
    </row>
    <row r="333" spans="1:4">
      <c r="A333" t="s">
        <v>102</v>
      </c>
      <c r="B333">
        <v>329.6482</v>
      </c>
      <c r="C333">
        <v>331.45</v>
      </c>
      <c r="D333">
        <v>328.3</v>
      </c>
    </row>
    <row r="334" spans="1:1">
      <c r="A334" s="1" t="s">
        <v>131</v>
      </c>
    </row>
    <row r="335" spans="1:1">
      <c r="A335" t="s">
        <v>131</v>
      </c>
    </row>
    <row r="336" spans="1:1">
      <c r="A336" s="1" t="s">
        <v>45</v>
      </c>
    </row>
    <row r="337" spans="1:7">
      <c r="A337" s="1" t="s">
        <v>46</v>
      </c>
      <c r="B337" s="1" t="s">
        <v>47</v>
      </c>
      <c r="C337" s="1" t="s">
        <v>48</v>
      </c>
      <c r="D337" s="1" t="s">
        <v>49</v>
      </c>
      <c r="E337" s="1" t="s">
        <v>50</v>
      </c>
      <c r="F337" s="1" t="s">
        <v>51</v>
      </c>
      <c r="G337" s="1" t="s">
        <v>52</v>
      </c>
    </row>
    <row r="338" spans="1:7">
      <c r="A338" s="2">
        <v>34012</v>
      </c>
      <c r="B338" s="2">
        <v>34018</v>
      </c>
      <c r="C338">
        <v>334.4</v>
      </c>
      <c r="D338">
        <v>328.8</v>
      </c>
      <c r="E338" s="2">
        <v>34012</v>
      </c>
      <c r="F338" s="2">
        <v>34019</v>
      </c>
      <c r="G338" t="s">
        <v>104</v>
      </c>
    </row>
    <row r="339" spans="1:1">
      <c r="A339" s="1" t="s">
        <v>54</v>
      </c>
    </row>
    <row r="340" spans="1:3">
      <c r="A340" s="1" t="s">
        <v>37</v>
      </c>
      <c r="B340" s="1" t="s">
        <v>38</v>
      </c>
      <c r="C340" s="1" t="s">
        <v>39</v>
      </c>
    </row>
    <row r="341" spans="1:3">
      <c r="A341" s="3">
        <v>34012</v>
      </c>
      <c r="B341">
        <v>331.8</v>
      </c>
      <c r="C341">
        <v>328.8</v>
      </c>
    </row>
    <row r="342" spans="1:3">
      <c r="A342" s="3">
        <v>34015</v>
      </c>
      <c r="B342">
        <v>331.8</v>
      </c>
      <c r="C342">
        <v>328.8</v>
      </c>
    </row>
    <row r="343" spans="1:3">
      <c r="A343" s="3">
        <v>34016</v>
      </c>
      <c r="B343">
        <v>334.4</v>
      </c>
      <c r="C343">
        <v>330.5</v>
      </c>
    </row>
    <row r="344" spans="1:3">
      <c r="A344" s="3">
        <v>34017</v>
      </c>
      <c r="B344">
        <v>332.9</v>
      </c>
      <c r="C344">
        <v>330.8</v>
      </c>
    </row>
    <row r="345" spans="1:3">
      <c r="A345" s="3">
        <v>34018</v>
      </c>
      <c r="B345">
        <v>332.8</v>
      </c>
      <c r="C345">
        <v>329.8</v>
      </c>
    </row>
    <row r="346" spans="1:1">
      <c r="A346" s="1" t="s">
        <v>55</v>
      </c>
    </row>
    <row r="347" spans="1:1">
      <c r="A347" s="1" t="s">
        <v>56</v>
      </c>
    </row>
    <row r="348" spans="1:1">
      <c r="A348">
        <v>340</v>
      </c>
    </row>
    <row r="349" spans="1:1">
      <c r="A349">
        <v>338.6784</v>
      </c>
    </row>
    <row r="350" spans="1:1">
      <c r="A350">
        <v>337.8608</v>
      </c>
    </row>
    <row r="351" spans="1:1">
      <c r="A351">
        <v>337.2</v>
      </c>
    </row>
    <row r="352" spans="1:1">
      <c r="A352">
        <v>336.5392</v>
      </c>
    </row>
    <row r="353" spans="1:1">
      <c r="A353">
        <v>335.7216</v>
      </c>
    </row>
    <row r="354" spans="1:1">
      <c r="A354">
        <v>334.4</v>
      </c>
    </row>
    <row r="355" spans="1:1">
      <c r="A355">
        <v>333.0784</v>
      </c>
    </row>
    <row r="356" spans="1:1">
      <c r="A356">
        <v>332.2608</v>
      </c>
    </row>
    <row r="357" spans="1:1">
      <c r="A357">
        <v>331.6</v>
      </c>
    </row>
    <row r="358" spans="1:1">
      <c r="A358">
        <v>330.9392</v>
      </c>
    </row>
    <row r="359" spans="1:1">
      <c r="A359">
        <v>329.9984</v>
      </c>
    </row>
    <row r="360" spans="1:1">
      <c r="A360">
        <v>328.8</v>
      </c>
    </row>
    <row r="361" spans="1:1">
      <c r="A361">
        <v>327.4784</v>
      </c>
    </row>
    <row r="362" spans="1:1">
      <c r="A362">
        <v>326.6608</v>
      </c>
    </row>
    <row r="363" spans="1:1">
      <c r="A363">
        <v>326</v>
      </c>
    </row>
    <row r="364" spans="1:1">
      <c r="A364">
        <v>325.3392</v>
      </c>
    </row>
    <row r="365" spans="1:1">
      <c r="A365">
        <v>324.5216</v>
      </c>
    </row>
    <row r="366" spans="1:1">
      <c r="A366">
        <v>323.2</v>
      </c>
    </row>
    <row r="367" spans="1:1">
      <c r="A367" s="1" t="s">
        <v>57</v>
      </c>
    </row>
    <row r="368" spans="1:6">
      <c r="A368" s="1" t="s">
        <v>58</v>
      </c>
      <c r="B368" s="1" t="s">
        <v>59</v>
      </c>
      <c r="C368" s="1" t="s">
        <v>60</v>
      </c>
      <c r="D368" s="1" t="s">
        <v>61</v>
      </c>
      <c r="E368" s="1" t="s">
        <v>62</v>
      </c>
      <c r="F368" s="1" t="s">
        <v>63</v>
      </c>
    </row>
    <row r="369" spans="1:6">
      <c r="A369">
        <v>334.4</v>
      </c>
      <c r="B369">
        <v>333.0784</v>
      </c>
      <c r="C369">
        <v>332.2608</v>
      </c>
      <c r="D369">
        <v>331.6</v>
      </c>
      <c r="E369">
        <v>330.9392</v>
      </c>
      <c r="F369">
        <v>329.9984</v>
      </c>
    </row>
    <row r="370" spans="1:6">
      <c r="A370">
        <v>334.0881024</v>
      </c>
      <c r="B370">
        <v>332.8854464</v>
      </c>
      <c r="C370">
        <v>332.1048512</v>
      </c>
      <c r="D370">
        <v>331.4440512</v>
      </c>
      <c r="E370">
        <v>330.7171712</v>
      </c>
      <c r="F370">
        <v>329.7155776</v>
      </c>
    </row>
    <row r="371" spans="1:6">
      <c r="A371">
        <v>333.8951488</v>
      </c>
      <c r="B371">
        <v>332.7660768</v>
      </c>
      <c r="C371">
        <v>332.0083744</v>
      </c>
      <c r="D371">
        <v>331.3475744</v>
      </c>
      <c r="E371">
        <v>330.5798144</v>
      </c>
      <c r="F371">
        <v>329.5406112</v>
      </c>
    </row>
    <row r="372" spans="1:6">
      <c r="A372">
        <v>333.7392</v>
      </c>
      <c r="B372">
        <v>332.6696</v>
      </c>
      <c r="C372">
        <v>331.9304</v>
      </c>
      <c r="D372">
        <v>331.2696</v>
      </c>
      <c r="E372">
        <v>330.4688</v>
      </c>
      <c r="F372">
        <v>329.3992</v>
      </c>
    </row>
    <row r="373" spans="1:6">
      <c r="A373">
        <v>333.5832512</v>
      </c>
      <c r="B373">
        <v>332.5731232</v>
      </c>
      <c r="C373">
        <v>331.8524256</v>
      </c>
      <c r="D373">
        <v>331.1916256</v>
      </c>
      <c r="E373">
        <v>330.3577856</v>
      </c>
      <c r="F373">
        <v>329.2577888</v>
      </c>
    </row>
    <row r="374" spans="1:6">
      <c r="A374">
        <v>333.3612224</v>
      </c>
      <c r="B374">
        <v>332.4357664</v>
      </c>
      <c r="C374">
        <v>331.7414112</v>
      </c>
      <c r="D374">
        <v>331.0806112</v>
      </c>
      <c r="E374">
        <v>330.1997312</v>
      </c>
      <c r="F374">
        <v>329.0564576</v>
      </c>
    </row>
    <row r="375" spans="1:6">
      <c r="A375">
        <v>333.0784</v>
      </c>
      <c r="B375">
        <v>332.2608</v>
      </c>
      <c r="C375">
        <v>331.6</v>
      </c>
      <c r="D375">
        <v>330.9392</v>
      </c>
      <c r="E375">
        <v>329.9984</v>
      </c>
      <c r="F375">
        <v>328.8</v>
      </c>
    </row>
    <row r="376" spans="1:1">
      <c r="A376" s="1" t="s">
        <v>64</v>
      </c>
    </row>
    <row r="377" spans="1:3">
      <c r="A377" s="1" t="s">
        <v>37</v>
      </c>
      <c r="B377" s="1" t="s">
        <v>38</v>
      </c>
      <c r="C377" s="1" t="s">
        <v>39</v>
      </c>
    </row>
    <row r="378" spans="1:3">
      <c r="A378" s="3">
        <v>34022</v>
      </c>
      <c r="B378">
        <v>332</v>
      </c>
      <c r="C378">
        <v>328.7</v>
      </c>
    </row>
    <row r="379" spans="1:3">
      <c r="A379" s="3">
        <v>34023</v>
      </c>
      <c r="B379">
        <v>331.9</v>
      </c>
      <c r="C379">
        <v>330.2</v>
      </c>
    </row>
    <row r="380" spans="1:3">
      <c r="A380" s="3">
        <v>34024</v>
      </c>
      <c r="B380">
        <v>332.2</v>
      </c>
      <c r="C380">
        <v>330.1</v>
      </c>
    </row>
    <row r="381" spans="1:3">
      <c r="A381" s="3">
        <v>34025</v>
      </c>
      <c r="B381">
        <v>331.4</v>
      </c>
      <c r="C381">
        <v>330.3</v>
      </c>
    </row>
    <row r="382" spans="1:3">
      <c r="A382" s="3">
        <v>34026</v>
      </c>
      <c r="B382">
        <v>329.8</v>
      </c>
      <c r="C382">
        <v>327.8</v>
      </c>
    </row>
    <row r="383" spans="1:1">
      <c r="A383" s="1" t="s">
        <v>65</v>
      </c>
    </row>
    <row r="384" spans="1:21">
      <c r="A384" s="1" t="s">
        <v>66</v>
      </c>
      <c r="B384" s="1" t="s">
        <v>51</v>
      </c>
      <c r="C384" s="1" t="s">
        <v>52</v>
      </c>
      <c r="D384" s="1" t="s">
        <v>67</v>
      </c>
      <c r="E384" s="1" t="s">
        <v>68</v>
      </c>
      <c r="F384" s="1" t="s">
        <v>48</v>
      </c>
      <c r="G384" s="1" t="s">
        <v>49</v>
      </c>
      <c r="H384" s="1" t="s">
        <v>69</v>
      </c>
      <c r="I384" s="1" t="s">
        <v>70</v>
      </c>
      <c r="J384" s="1" t="s">
        <v>71</v>
      </c>
      <c r="K384" s="1" t="s">
        <v>72</v>
      </c>
      <c r="L384" s="1" t="s">
        <v>73</v>
      </c>
      <c r="M384" s="1" t="s">
        <v>74</v>
      </c>
      <c r="N384" s="1" t="s">
        <v>75</v>
      </c>
      <c r="O384" s="1" t="s">
        <v>76</v>
      </c>
      <c r="P384" s="1" t="s">
        <v>77</v>
      </c>
      <c r="Q384" s="1" t="s">
        <v>78</v>
      </c>
      <c r="R384" s="1" t="s">
        <v>79</v>
      </c>
      <c r="S384" s="1" t="s">
        <v>80</v>
      </c>
      <c r="T384" s="1" t="s">
        <v>81</v>
      </c>
      <c r="U384" s="1" t="s">
        <v>82</v>
      </c>
    </row>
    <row r="385" spans="1:21">
      <c r="A385" t="s">
        <v>104</v>
      </c>
      <c r="B385" s="2">
        <v>34019</v>
      </c>
      <c r="C385" t="s">
        <v>104</v>
      </c>
      <c r="D385" s="2">
        <v>34012</v>
      </c>
      <c r="E385" s="2">
        <v>34018</v>
      </c>
      <c r="F385">
        <v>334.4</v>
      </c>
      <c r="G385">
        <v>328.8</v>
      </c>
      <c r="H385" s="2">
        <v>34022</v>
      </c>
      <c r="I385" s="2">
        <v>34026</v>
      </c>
      <c r="J385" t="s">
        <v>104</v>
      </c>
      <c r="K385">
        <v>1</v>
      </c>
      <c r="L385" t="s">
        <v>83</v>
      </c>
      <c r="M385">
        <v>333.0784</v>
      </c>
      <c r="N385" t="s">
        <v>132</v>
      </c>
      <c r="O385" t="s">
        <v>85</v>
      </c>
      <c r="P385" t="s">
        <v>85</v>
      </c>
      <c r="Q385" t="s">
        <v>85</v>
      </c>
      <c r="R385" t="s">
        <v>85</v>
      </c>
      <c r="S385" t="s">
        <v>83</v>
      </c>
      <c r="T385" t="s">
        <v>83</v>
      </c>
      <c r="U385">
        <v>-1.63</v>
      </c>
    </row>
    <row r="386" spans="1:21">
      <c r="A386" t="s">
        <v>104</v>
      </c>
      <c r="B386" s="2">
        <v>34019</v>
      </c>
      <c r="C386" t="s">
        <v>104</v>
      </c>
      <c r="D386" s="2">
        <v>34012</v>
      </c>
      <c r="E386" s="2">
        <v>34018</v>
      </c>
      <c r="F386">
        <v>334.4</v>
      </c>
      <c r="G386">
        <v>328.8</v>
      </c>
      <c r="H386" s="2">
        <v>34022</v>
      </c>
      <c r="I386" s="2">
        <v>34026</v>
      </c>
      <c r="J386" t="s">
        <v>104</v>
      </c>
      <c r="K386">
        <v>2</v>
      </c>
      <c r="L386">
        <v>1</v>
      </c>
      <c r="M386">
        <v>332.2608</v>
      </c>
      <c r="N386" t="s">
        <v>133</v>
      </c>
      <c r="O386" t="s">
        <v>85</v>
      </c>
      <c r="P386" t="s">
        <v>85</v>
      </c>
      <c r="Q386" t="s">
        <v>85</v>
      </c>
      <c r="R386" t="s">
        <v>85</v>
      </c>
      <c r="S386" t="s">
        <v>83</v>
      </c>
      <c r="T386" t="s">
        <v>83</v>
      </c>
      <c r="U386">
        <v>-0.82</v>
      </c>
    </row>
    <row r="387" spans="1:21">
      <c r="A387" t="s">
        <v>104</v>
      </c>
      <c r="B387" s="2">
        <v>34019</v>
      </c>
      <c r="C387" t="s">
        <v>104</v>
      </c>
      <c r="D387" s="2">
        <v>34012</v>
      </c>
      <c r="E387" s="2">
        <v>34018</v>
      </c>
      <c r="F387">
        <v>334.4</v>
      </c>
      <c r="G387">
        <v>328.8</v>
      </c>
      <c r="H387" s="2">
        <v>34022</v>
      </c>
      <c r="I387" s="2">
        <v>34026</v>
      </c>
      <c r="J387" t="s">
        <v>104</v>
      </c>
      <c r="K387">
        <v>2</v>
      </c>
      <c r="L387">
        <v>2</v>
      </c>
      <c r="M387">
        <v>332.2608</v>
      </c>
      <c r="N387" t="s">
        <v>134</v>
      </c>
      <c r="O387" t="s">
        <v>85</v>
      </c>
      <c r="P387" t="s">
        <v>85</v>
      </c>
      <c r="Q387" t="s">
        <v>85</v>
      </c>
      <c r="R387" t="s">
        <v>85</v>
      </c>
      <c r="S387" t="s">
        <v>83</v>
      </c>
      <c r="T387" t="s">
        <v>83</v>
      </c>
      <c r="U387">
        <v>-1.54</v>
      </c>
    </row>
    <row r="388" spans="1:21">
      <c r="A388" t="s">
        <v>104</v>
      </c>
      <c r="B388" s="2">
        <v>34019</v>
      </c>
      <c r="C388" t="s">
        <v>104</v>
      </c>
      <c r="D388" s="2">
        <v>34012</v>
      </c>
      <c r="E388" s="2">
        <v>34018</v>
      </c>
      <c r="F388">
        <v>334.4</v>
      </c>
      <c r="G388">
        <v>328.8</v>
      </c>
      <c r="H388" s="2">
        <v>34022</v>
      </c>
      <c r="I388" s="2">
        <v>34026</v>
      </c>
      <c r="J388" t="s">
        <v>104</v>
      </c>
      <c r="K388">
        <v>3</v>
      </c>
      <c r="L388">
        <v>1</v>
      </c>
      <c r="M388">
        <v>330.9392</v>
      </c>
      <c r="N388" t="s">
        <v>135</v>
      </c>
      <c r="O388" t="s">
        <v>85</v>
      </c>
      <c r="P388" t="s">
        <v>85</v>
      </c>
      <c r="Q388" t="s">
        <v>85</v>
      </c>
      <c r="R388" t="s">
        <v>85</v>
      </c>
      <c r="S388" t="s">
        <v>83</v>
      </c>
      <c r="T388" t="s">
        <v>83</v>
      </c>
      <c r="U388">
        <v>-1.54</v>
      </c>
    </row>
    <row r="389" spans="1:21">
      <c r="A389" t="s">
        <v>104</v>
      </c>
      <c r="B389" s="2">
        <v>34019</v>
      </c>
      <c r="C389" t="s">
        <v>104</v>
      </c>
      <c r="D389" s="2">
        <v>34012</v>
      </c>
      <c r="E389" s="2">
        <v>34018</v>
      </c>
      <c r="F389">
        <v>334.4</v>
      </c>
      <c r="G389">
        <v>328.8</v>
      </c>
      <c r="H389" s="2">
        <v>34022</v>
      </c>
      <c r="I389" s="2">
        <v>34026</v>
      </c>
      <c r="J389" t="s">
        <v>104</v>
      </c>
      <c r="K389">
        <v>3</v>
      </c>
      <c r="L389">
        <v>2</v>
      </c>
      <c r="M389">
        <v>330.9392</v>
      </c>
      <c r="N389" t="s">
        <v>136</v>
      </c>
      <c r="O389" t="s">
        <v>85</v>
      </c>
      <c r="P389" t="s">
        <v>85</v>
      </c>
      <c r="Q389" t="s">
        <v>85</v>
      </c>
      <c r="R389" t="s">
        <v>85</v>
      </c>
      <c r="S389" t="s">
        <v>83</v>
      </c>
      <c r="T389" t="s">
        <v>83</v>
      </c>
      <c r="U389">
        <v>-1.54</v>
      </c>
    </row>
    <row r="390" spans="1:21">
      <c r="A390" t="s">
        <v>104</v>
      </c>
      <c r="B390" s="2">
        <v>34019</v>
      </c>
      <c r="C390" t="s">
        <v>104</v>
      </c>
      <c r="D390" s="2">
        <v>34012</v>
      </c>
      <c r="E390" s="2">
        <v>34018</v>
      </c>
      <c r="F390">
        <v>334.4</v>
      </c>
      <c r="G390">
        <v>328.8</v>
      </c>
      <c r="H390" s="2">
        <v>34022</v>
      </c>
      <c r="I390" s="2">
        <v>34026</v>
      </c>
      <c r="J390" t="s">
        <v>104</v>
      </c>
      <c r="K390">
        <v>4</v>
      </c>
      <c r="L390" t="s">
        <v>83</v>
      </c>
      <c r="M390">
        <v>329.9984</v>
      </c>
      <c r="N390" t="s">
        <v>137</v>
      </c>
      <c r="O390" t="s">
        <v>85</v>
      </c>
      <c r="P390" t="s">
        <v>85</v>
      </c>
      <c r="Q390" t="s">
        <v>85</v>
      </c>
      <c r="R390" t="s">
        <v>85</v>
      </c>
      <c r="S390" t="s">
        <v>83</v>
      </c>
      <c r="T390" t="s">
        <v>83</v>
      </c>
      <c r="U390">
        <v>1.6</v>
      </c>
    </row>
    <row r="391" spans="1:1">
      <c r="A391" s="1" t="s">
        <v>92</v>
      </c>
    </row>
    <row r="392" spans="1:4">
      <c r="A392" s="1" t="s">
        <v>93</v>
      </c>
      <c r="B392" s="1" t="s">
        <v>94</v>
      </c>
      <c r="C392" s="1" t="s">
        <v>95</v>
      </c>
      <c r="D392" s="1" t="s">
        <v>96</v>
      </c>
    </row>
    <row r="393" spans="1:4">
      <c r="A393" t="s">
        <v>97</v>
      </c>
      <c r="B393">
        <v>333.0784</v>
      </c>
      <c r="C393">
        <v>336.5392</v>
      </c>
      <c r="D393">
        <v>331.4440512</v>
      </c>
    </row>
    <row r="394" spans="1:4">
      <c r="A394" t="s">
        <v>98</v>
      </c>
      <c r="B394">
        <v>332.2608</v>
      </c>
      <c r="C394">
        <v>334.4</v>
      </c>
      <c r="D394">
        <v>331.4440512</v>
      </c>
    </row>
    <row r="395" spans="1:4">
      <c r="A395" t="s">
        <v>99</v>
      </c>
      <c r="B395">
        <v>332.2608</v>
      </c>
      <c r="C395">
        <v>335.7216</v>
      </c>
      <c r="D395">
        <v>330.7171712</v>
      </c>
    </row>
    <row r="396" spans="1:4">
      <c r="A396" t="s">
        <v>100</v>
      </c>
      <c r="B396">
        <v>330.9392</v>
      </c>
      <c r="C396">
        <v>333.0784</v>
      </c>
      <c r="D396">
        <v>329.3992</v>
      </c>
    </row>
    <row r="397" spans="1:4">
      <c r="A397" t="s">
        <v>101</v>
      </c>
      <c r="B397">
        <v>330.9392</v>
      </c>
      <c r="C397">
        <v>332.2608</v>
      </c>
      <c r="D397">
        <v>329.3992</v>
      </c>
    </row>
    <row r="398" spans="1:4">
      <c r="A398" t="s">
        <v>102</v>
      </c>
      <c r="B398">
        <v>329.9984</v>
      </c>
      <c r="C398">
        <v>331.6</v>
      </c>
      <c r="D398">
        <v>328.8</v>
      </c>
    </row>
    <row r="399" spans="1:1">
      <c r="A399" s="1" t="s">
        <v>138</v>
      </c>
    </row>
    <row r="400" spans="1:1">
      <c r="A400" t="s">
        <v>138</v>
      </c>
    </row>
    <row r="401" spans="1:1">
      <c r="A401" s="1" t="s">
        <v>45</v>
      </c>
    </row>
    <row r="402" spans="1:7">
      <c r="A402" s="1" t="s">
        <v>46</v>
      </c>
      <c r="B402" s="1" t="s">
        <v>47</v>
      </c>
      <c r="C402" s="1" t="s">
        <v>48</v>
      </c>
      <c r="D402" s="1" t="s">
        <v>49</v>
      </c>
      <c r="E402" s="1" t="s">
        <v>50</v>
      </c>
      <c r="F402" s="1" t="s">
        <v>51</v>
      </c>
      <c r="G402" s="1" t="s">
        <v>52</v>
      </c>
    </row>
    <row r="403" spans="1:7">
      <c r="A403" s="2">
        <v>34019</v>
      </c>
      <c r="B403" s="2">
        <v>34025</v>
      </c>
      <c r="C403">
        <v>332.5</v>
      </c>
      <c r="D403">
        <v>328.7</v>
      </c>
      <c r="E403" s="2">
        <v>34019</v>
      </c>
      <c r="F403" s="2">
        <v>34026</v>
      </c>
      <c r="G403" t="s">
        <v>53</v>
      </c>
    </row>
    <row r="404" spans="1:1">
      <c r="A404" s="1" t="s">
        <v>54</v>
      </c>
    </row>
    <row r="405" spans="1:3">
      <c r="A405" s="1" t="s">
        <v>37</v>
      </c>
      <c r="B405" s="1" t="s">
        <v>38</v>
      </c>
      <c r="C405" s="1" t="s">
        <v>39</v>
      </c>
    </row>
    <row r="406" spans="1:3">
      <c r="A406" s="3">
        <v>34019</v>
      </c>
      <c r="B406">
        <v>332.5</v>
      </c>
      <c r="C406">
        <v>330.8</v>
      </c>
    </row>
    <row r="407" spans="1:3">
      <c r="A407" s="3">
        <v>34022</v>
      </c>
      <c r="B407">
        <v>332</v>
      </c>
      <c r="C407">
        <v>328.7</v>
      </c>
    </row>
    <row r="408" spans="1:3">
      <c r="A408" s="3">
        <v>34023</v>
      </c>
      <c r="B408">
        <v>331.9</v>
      </c>
      <c r="C408">
        <v>330.2</v>
      </c>
    </row>
    <row r="409" spans="1:3">
      <c r="A409" s="3">
        <v>34024</v>
      </c>
      <c r="B409">
        <v>332.2</v>
      </c>
      <c r="C409">
        <v>330.1</v>
      </c>
    </row>
    <row r="410" spans="1:3">
      <c r="A410" s="3">
        <v>34025</v>
      </c>
      <c r="B410">
        <v>331.4</v>
      </c>
      <c r="C410">
        <v>330.3</v>
      </c>
    </row>
    <row r="411" spans="1:1">
      <c r="A411" s="1" t="s">
        <v>55</v>
      </c>
    </row>
    <row r="412" spans="1:1">
      <c r="A412" s="1" t="s">
        <v>56</v>
      </c>
    </row>
    <row r="413" spans="1:1">
      <c r="A413">
        <v>336.3</v>
      </c>
    </row>
    <row r="414" spans="1:1">
      <c r="A414">
        <v>335.4032</v>
      </c>
    </row>
    <row r="415" spans="1:1">
      <c r="A415">
        <v>334.8484</v>
      </c>
    </row>
    <row r="416" spans="1:1">
      <c r="A416">
        <v>334.4</v>
      </c>
    </row>
    <row r="417" spans="1:1">
      <c r="A417">
        <v>333.9516</v>
      </c>
    </row>
    <row r="418" spans="1:1">
      <c r="A418">
        <v>333.3968</v>
      </c>
    </row>
    <row r="419" spans="1:1">
      <c r="A419">
        <v>332.5</v>
      </c>
    </row>
    <row r="420" spans="1:1">
      <c r="A420">
        <v>331.6032</v>
      </c>
    </row>
    <row r="421" spans="1:1">
      <c r="A421">
        <v>331.0484</v>
      </c>
    </row>
    <row r="422" spans="1:1">
      <c r="A422">
        <v>330.6</v>
      </c>
    </row>
    <row r="423" spans="1:1">
      <c r="A423">
        <v>330.1516</v>
      </c>
    </row>
    <row r="424" spans="1:1">
      <c r="A424">
        <v>329.5132</v>
      </c>
    </row>
    <row r="425" spans="1:1">
      <c r="A425">
        <v>328.7</v>
      </c>
    </row>
    <row r="426" spans="1:1">
      <c r="A426">
        <v>327.8032</v>
      </c>
    </row>
    <row r="427" spans="1:1">
      <c r="A427">
        <v>327.2484</v>
      </c>
    </row>
    <row r="428" spans="1:1">
      <c r="A428">
        <v>326.8</v>
      </c>
    </row>
    <row r="429" spans="1:1">
      <c r="A429">
        <v>326.3516</v>
      </c>
    </row>
    <row r="430" spans="1:1">
      <c r="A430">
        <v>325.7968</v>
      </c>
    </row>
    <row r="431" spans="1:1">
      <c r="A431">
        <v>324.9</v>
      </c>
    </row>
    <row r="432" spans="1:1">
      <c r="A432" s="1" t="s">
        <v>57</v>
      </c>
    </row>
    <row r="433" spans="1:6">
      <c r="A433" s="1" t="s">
        <v>58</v>
      </c>
      <c r="B433" s="1" t="s">
        <v>59</v>
      </c>
      <c r="C433" s="1" t="s">
        <v>60</v>
      </c>
      <c r="D433" s="1" t="s">
        <v>61</v>
      </c>
      <c r="E433" s="1" t="s">
        <v>62</v>
      </c>
      <c r="F433" s="1" t="s">
        <v>63</v>
      </c>
    </row>
    <row r="434" spans="1:6">
      <c r="A434">
        <v>332.5</v>
      </c>
      <c r="B434">
        <v>331.6032</v>
      </c>
      <c r="C434">
        <v>331.0484</v>
      </c>
      <c r="D434">
        <v>330.6</v>
      </c>
      <c r="E434">
        <v>330.1516</v>
      </c>
      <c r="F434">
        <v>329.5132</v>
      </c>
    </row>
    <row r="435" spans="1:6">
      <c r="A435">
        <v>332.2883552</v>
      </c>
      <c r="B435">
        <v>331.4722672</v>
      </c>
      <c r="C435">
        <v>330.9425776</v>
      </c>
      <c r="D435">
        <v>330.4941776</v>
      </c>
      <c r="E435">
        <v>330.0009376</v>
      </c>
      <c r="F435">
        <v>329.3212848</v>
      </c>
    </row>
    <row r="436" spans="1:6">
      <c r="A436">
        <v>332.1574224</v>
      </c>
      <c r="B436">
        <v>331.3912664</v>
      </c>
      <c r="C436">
        <v>330.8771112</v>
      </c>
      <c r="D436">
        <v>330.4287112</v>
      </c>
      <c r="E436">
        <v>329.9077312</v>
      </c>
      <c r="F436">
        <v>329.2025576</v>
      </c>
    </row>
    <row r="437" spans="1:6">
      <c r="A437">
        <v>332.0516</v>
      </c>
      <c r="B437">
        <v>331.3258</v>
      </c>
      <c r="C437">
        <v>330.8242</v>
      </c>
      <c r="D437">
        <v>330.3758</v>
      </c>
      <c r="E437">
        <v>329.8324</v>
      </c>
      <c r="F437">
        <v>329.1066</v>
      </c>
    </row>
    <row r="438" spans="1:6">
      <c r="A438">
        <v>331.9457776</v>
      </c>
      <c r="B438">
        <v>331.2603336</v>
      </c>
      <c r="C438">
        <v>330.7712888</v>
      </c>
      <c r="D438">
        <v>330.3228888</v>
      </c>
      <c r="E438">
        <v>329.7570688</v>
      </c>
      <c r="F438">
        <v>329.0106424</v>
      </c>
    </row>
    <row r="439" spans="1:6">
      <c r="A439">
        <v>331.7951152</v>
      </c>
      <c r="B439">
        <v>331.1671272</v>
      </c>
      <c r="C439">
        <v>330.6959576</v>
      </c>
      <c r="D439">
        <v>330.2475576</v>
      </c>
      <c r="E439">
        <v>329.6498176</v>
      </c>
      <c r="F439">
        <v>328.8740248</v>
      </c>
    </row>
    <row r="440" spans="1:6">
      <c r="A440">
        <v>331.6032</v>
      </c>
      <c r="B440">
        <v>331.0484</v>
      </c>
      <c r="C440">
        <v>330.6</v>
      </c>
      <c r="D440">
        <v>330.1516</v>
      </c>
      <c r="E440">
        <v>329.5132</v>
      </c>
      <c r="F440">
        <v>328.7</v>
      </c>
    </row>
    <row r="441" spans="1:1">
      <c r="A441" s="1" t="s">
        <v>64</v>
      </c>
    </row>
    <row r="442" spans="1:3">
      <c r="A442" s="1" t="s">
        <v>37</v>
      </c>
      <c r="B442" s="1" t="s">
        <v>38</v>
      </c>
      <c r="C442" s="1" t="s">
        <v>39</v>
      </c>
    </row>
    <row r="443" spans="1:3">
      <c r="A443" s="3">
        <v>34029</v>
      </c>
      <c r="B443">
        <v>329.8</v>
      </c>
      <c r="C443">
        <v>329.1</v>
      </c>
    </row>
    <row r="444" spans="1:3">
      <c r="A444" s="3">
        <v>34030</v>
      </c>
      <c r="B444">
        <v>330.7</v>
      </c>
      <c r="C444">
        <v>329.5</v>
      </c>
    </row>
    <row r="445" spans="1:3">
      <c r="A445" s="3">
        <v>34031</v>
      </c>
      <c r="B445">
        <v>330.9</v>
      </c>
      <c r="C445">
        <v>329.5</v>
      </c>
    </row>
    <row r="446" spans="1:3">
      <c r="A446" s="3">
        <v>34032</v>
      </c>
      <c r="B446">
        <v>329.7</v>
      </c>
      <c r="C446">
        <v>328.6</v>
      </c>
    </row>
    <row r="447" spans="1:3">
      <c r="A447" s="3">
        <v>34033</v>
      </c>
      <c r="B447">
        <v>331.3</v>
      </c>
      <c r="C447">
        <v>330.2</v>
      </c>
    </row>
    <row r="448" spans="1:1">
      <c r="A448" s="1" t="s">
        <v>65</v>
      </c>
    </row>
    <row r="449" spans="1:21">
      <c r="A449" s="1" t="s">
        <v>66</v>
      </c>
      <c r="B449" s="1" t="s">
        <v>51</v>
      </c>
      <c r="C449" s="1" t="s">
        <v>52</v>
      </c>
      <c r="D449" s="1" t="s">
        <v>67</v>
      </c>
      <c r="E449" s="1" t="s">
        <v>68</v>
      </c>
      <c r="F449" s="1" t="s">
        <v>48</v>
      </c>
      <c r="G449" s="1" t="s">
        <v>49</v>
      </c>
      <c r="H449" s="1" t="s">
        <v>69</v>
      </c>
      <c r="I449" s="1" t="s">
        <v>70</v>
      </c>
      <c r="J449" s="1" t="s">
        <v>71</v>
      </c>
      <c r="K449" s="1" t="s">
        <v>72</v>
      </c>
      <c r="L449" s="1" t="s">
        <v>73</v>
      </c>
      <c r="M449" s="1" t="s">
        <v>74</v>
      </c>
      <c r="N449" s="1" t="s">
        <v>75</v>
      </c>
      <c r="O449" s="1" t="s">
        <v>76</v>
      </c>
      <c r="P449" s="1" t="s">
        <v>77</v>
      </c>
      <c r="Q449" s="1" t="s">
        <v>78</v>
      </c>
      <c r="R449" s="1" t="s">
        <v>79</v>
      </c>
      <c r="S449" s="1" t="s">
        <v>80</v>
      </c>
      <c r="T449" s="1" t="s">
        <v>81</v>
      </c>
      <c r="U449" s="1" t="s">
        <v>82</v>
      </c>
    </row>
    <row r="450" spans="1:21">
      <c r="A450" t="s">
        <v>53</v>
      </c>
      <c r="B450" s="2">
        <v>34026</v>
      </c>
      <c r="C450" t="s">
        <v>53</v>
      </c>
      <c r="D450" s="2">
        <v>34019</v>
      </c>
      <c r="E450" s="2">
        <v>34025</v>
      </c>
      <c r="F450">
        <v>332.5</v>
      </c>
      <c r="G450">
        <v>328.7</v>
      </c>
      <c r="H450" s="2">
        <v>34029</v>
      </c>
      <c r="I450" s="2">
        <v>34033</v>
      </c>
      <c r="J450" t="s">
        <v>53</v>
      </c>
      <c r="K450">
        <v>1</v>
      </c>
      <c r="L450" t="s">
        <v>83</v>
      </c>
      <c r="M450">
        <v>331.6032</v>
      </c>
      <c r="N450" t="s">
        <v>83</v>
      </c>
      <c r="O450" t="s">
        <v>83</v>
      </c>
      <c r="P450" t="s">
        <v>83</v>
      </c>
      <c r="Q450" t="s">
        <v>83</v>
      </c>
      <c r="R450" t="s">
        <v>83</v>
      </c>
      <c r="S450" t="s">
        <v>83</v>
      </c>
      <c r="T450" t="s">
        <v>83</v>
      </c>
      <c r="U450" t="s">
        <v>88</v>
      </c>
    </row>
    <row r="451" spans="1:21">
      <c r="A451" t="s">
        <v>53</v>
      </c>
      <c r="B451" s="2">
        <v>34026</v>
      </c>
      <c r="C451" t="s">
        <v>53</v>
      </c>
      <c r="D451" s="2">
        <v>34019</v>
      </c>
      <c r="E451" s="2">
        <v>34025</v>
      </c>
      <c r="F451">
        <v>332.5</v>
      </c>
      <c r="G451">
        <v>328.7</v>
      </c>
      <c r="H451" s="2">
        <v>34029</v>
      </c>
      <c r="I451" s="2">
        <v>34033</v>
      </c>
      <c r="J451" t="s">
        <v>53</v>
      </c>
      <c r="K451">
        <v>2</v>
      </c>
      <c r="L451">
        <v>1</v>
      </c>
      <c r="M451">
        <v>331.0484</v>
      </c>
      <c r="N451" t="s">
        <v>83</v>
      </c>
      <c r="O451" t="s">
        <v>83</v>
      </c>
      <c r="P451" t="s">
        <v>83</v>
      </c>
      <c r="Q451" t="s">
        <v>83</v>
      </c>
      <c r="R451" t="s">
        <v>139</v>
      </c>
      <c r="S451" t="s">
        <v>83</v>
      </c>
      <c r="T451" t="s">
        <v>83</v>
      </c>
      <c r="U451">
        <v>0.45</v>
      </c>
    </row>
    <row r="452" spans="1:21">
      <c r="A452" t="s">
        <v>53</v>
      </c>
      <c r="B452" s="2">
        <v>34026</v>
      </c>
      <c r="C452" t="s">
        <v>53</v>
      </c>
      <c r="D452" s="2">
        <v>34019</v>
      </c>
      <c r="E452" s="2">
        <v>34025</v>
      </c>
      <c r="F452">
        <v>332.5</v>
      </c>
      <c r="G452">
        <v>328.7</v>
      </c>
      <c r="H452" s="2">
        <v>34029</v>
      </c>
      <c r="I452" s="2">
        <v>34033</v>
      </c>
      <c r="J452" t="s">
        <v>53</v>
      </c>
      <c r="K452">
        <v>2</v>
      </c>
      <c r="L452">
        <v>2</v>
      </c>
      <c r="M452">
        <v>331.0484</v>
      </c>
      <c r="N452" t="s">
        <v>83</v>
      </c>
      <c r="O452" t="s">
        <v>83</v>
      </c>
      <c r="P452" t="s">
        <v>83</v>
      </c>
      <c r="Q452" t="s">
        <v>83</v>
      </c>
      <c r="R452" t="s">
        <v>87</v>
      </c>
      <c r="S452" t="s">
        <v>83</v>
      </c>
      <c r="T452" t="s">
        <v>83</v>
      </c>
      <c r="U452" t="s">
        <v>88</v>
      </c>
    </row>
    <row r="453" spans="1:21">
      <c r="A453" t="s">
        <v>53</v>
      </c>
      <c r="B453" s="2">
        <v>34026</v>
      </c>
      <c r="C453" t="s">
        <v>53</v>
      </c>
      <c r="D453" s="2">
        <v>34019</v>
      </c>
      <c r="E453" s="2">
        <v>34025</v>
      </c>
      <c r="F453">
        <v>332.5</v>
      </c>
      <c r="G453">
        <v>328.7</v>
      </c>
      <c r="H453" s="2">
        <v>34029</v>
      </c>
      <c r="I453" s="2">
        <v>34033</v>
      </c>
      <c r="J453" t="s">
        <v>53</v>
      </c>
      <c r="K453">
        <v>3</v>
      </c>
      <c r="L453">
        <v>1</v>
      </c>
      <c r="M453">
        <v>330.1516</v>
      </c>
      <c r="N453" t="s">
        <v>83</v>
      </c>
      <c r="O453" t="s">
        <v>140</v>
      </c>
      <c r="P453" t="s">
        <v>83</v>
      </c>
      <c r="Q453" t="s">
        <v>85</v>
      </c>
      <c r="R453" t="s">
        <v>85</v>
      </c>
      <c r="S453" t="s">
        <v>83</v>
      </c>
      <c r="T453" t="s">
        <v>83</v>
      </c>
      <c r="U453">
        <v>0.64</v>
      </c>
    </row>
    <row r="454" spans="1:21">
      <c r="A454" t="s">
        <v>53</v>
      </c>
      <c r="B454" s="2">
        <v>34026</v>
      </c>
      <c r="C454" t="s">
        <v>53</v>
      </c>
      <c r="D454" s="2">
        <v>34019</v>
      </c>
      <c r="E454" s="2">
        <v>34025</v>
      </c>
      <c r="F454">
        <v>332.5</v>
      </c>
      <c r="G454">
        <v>328.7</v>
      </c>
      <c r="H454" s="2">
        <v>34029</v>
      </c>
      <c r="I454" s="2">
        <v>34033</v>
      </c>
      <c r="J454" t="s">
        <v>53</v>
      </c>
      <c r="K454">
        <v>3</v>
      </c>
      <c r="L454">
        <v>2</v>
      </c>
      <c r="M454">
        <v>330.1516</v>
      </c>
      <c r="N454" t="s">
        <v>83</v>
      </c>
      <c r="O454" t="s">
        <v>87</v>
      </c>
      <c r="P454" t="s">
        <v>83</v>
      </c>
      <c r="Q454" t="s">
        <v>141</v>
      </c>
      <c r="R454" t="s">
        <v>85</v>
      </c>
      <c r="S454" t="s">
        <v>83</v>
      </c>
      <c r="T454" t="s">
        <v>83</v>
      </c>
      <c r="U454">
        <v>1.45</v>
      </c>
    </row>
    <row r="455" spans="1:21">
      <c r="A455" t="s">
        <v>53</v>
      </c>
      <c r="B455" s="2">
        <v>34026</v>
      </c>
      <c r="C455" t="s">
        <v>53</v>
      </c>
      <c r="D455" s="2">
        <v>34019</v>
      </c>
      <c r="E455" s="2">
        <v>34025</v>
      </c>
      <c r="F455">
        <v>332.5</v>
      </c>
      <c r="G455">
        <v>328.7</v>
      </c>
      <c r="H455" s="2">
        <v>34029</v>
      </c>
      <c r="I455" s="2">
        <v>34033</v>
      </c>
      <c r="J455" t="s">
        <v>53</v>
      </c>
      <c r="K455">
        <v>4</v>
      </c>
      <c r="L455" t="s">
        <v>83</v>
      </c>
      <c r="M455">
        <v>329.5132</v>
      </c>
      <c r="N455" t="s">
        <v>87</v>
      </c>
      <c r="O455" t="s">
        <v>142</v>
      </c>
      <c r="P455" t="s">
        <v>85</v>
      </c>
      <c r="Q455" t="s">
        <v>85</v>
      </c>
      <c r="R455" t="s">
        <v>85</v>
      </c>
      <c r="S455" t="s">
        <v>83</v>
      </c>
      <c r="T455" t="s">
        <v>83</v>
      </c>
      <c r="U455">
        <v>-0.64</v>
      </c>
    </row>
    <row r="456" spans="1:1">
      <c r="A456" s="1" t="s">
        <v>92</v>
      </c>
    </row>
    <row r="457" spans="1:4">
      <c r="A457" s="1" t="s">
        <v>93</v>
      </c>
      <c r="B457" s="1" t="s">
        <v>94</v>
      </c>
      <c r="C457" s="1" t="s">
        <v>95</v>
      </c>
      <c r="D457" s="1" t="s">
        <v>96</v>
      </c>
    </row>
    <row r="458" spans="1:4">
      <c r="A458" t="s">
        <v>97</v>
      </c>
      <c r="B458">
        <v>331.6032</v>
      </c>
      <c r="C458">
        <v>331.0484</v>
      </c>
      <c r="D458">
        <v>332.5</v>
      </c>
    </row>
    <row r="459" spans="1:4">
      <c r="A459" t="s">
        <v>98</v>
      </c>
      <c r="B459">
        <v>331.0484</v>
      </c>
      <c r="C459">
        <v>330.6</v>
      </c>
      <c r="D459">
        <v>331.6032</v>
      </c>
    </row>
    <row r="460" spans="1:4">
      <c r="A460" t="s">
        <v>99</v>
      </c>
      <c r="B460">
        <v>331.0484</v>
      </c>
      <c r="C460">
        <v>330.1516</v>
      </c>
      <c r="D460">
        <v>332.5</v>
      </c>
    </row>
    <row r="461" spans="1:4">
      <c r="A461" t="s">
        <v>100</v>
      </c>
      <c r="B461">
        <v>330.1516</v>
      </c>
      <c r="C461">
        <v>329.5132</v>
      </c>
      <c r="D461">
        <v>330.6</v>
      </c>
    </row>
    <row r="462" spans="1:4">
      <c r="A462" t="s">
        <v>101</v>
      </c>
      <c r="B462">
        <v>330.1516</v>
      </c>
      <c r="C462">
        <v>328.7</v>
      </c>
      <c r="D462">
        <v>331.0484</v>
      </c>
    </row>
    <row r="463" spans="1:4">
      <c r="A463" t="s">
        <v>102</v>
      </c>
      <c r="B463">
        <v>329.5132</v>
      </c>
      <c r="C463">
        <v>328.7</v>
      </c>
      <c r="D463">
        <v>330.1516</v>
      </c>
    </row>
    <row r="464" spans="1:1">
      <c r="A464" s="1" t="s">
        <v>143</v>
      </c>
    </row>
    <row r="465" spans="1:1">
      <c r="A465" t="s">
        <v>143</v>
      </c>
    </row>
    <row r="466" spans="1:1">
      <c r="A466" s="1" t="s">
        <v>144</v>
      </c>
    </row>
    <row r="467" spans="1:3">
      <c r="A467" s="1" t="s">
        <v>37</v>
      </c>
      <c r="B467" s="1" t="s">
        <v>38</v>
      </c>
      <c r="C467" s="1" t="s">
        <v>39</v>
      </c>
    </row>
    <row r="468" spans="1:3">
      <c r="A468" s="3">
        <v>34026</v>
      </c>
      <c r="B468">
        <v>329.8</v>
      </c>
      <c r="C468">
        <v>327.8</v>
      </c>
    </row>
    <row r="469" spans="1:3">
      <c r="A469" s="3">
        <v>34029</v>
      </c>
      <c r="B469">
        <v>329.8</v>
      </c>
      <c r="C469">
        <v>329.1</v>
      </c>
    </row>
    <row r="470" spans="1:3">
      <c r="A470" s="3">
        <v>34030</v>
      </c>
      <c r="B470">
        <v>330.7</v>
      </c>
      <c r="C470">
        <v>329.5</v>
      </c>
    </row>
    <row r="471" spans="1:3">
      <c r="A471" s="3">
        <v>34031</v>
      </c>
      <c r="B471">
        <v>330.9</v>
      </c>
      <c r="C471">
        <v>329.5</v>
      </c>
    </row>
    <row r="472" spans="1:3">
      <c r="A472" s="3">
        <v>34032</v>
      </c>
      <c r="B472">
        <v>329.7</v>
      </c>
      <c r="C472">
        <v>328.6</v>
      </c>
    </row>
    <row r="473" spans="1:1">
      <c r="A473" s="1" t="s">
        <v>145</v>
      </c>
    </row>
    <row r="474" spans="1:3">
      <c r="A474" s="1" t="s">
        <v>37</v>
      </c>
      <c r="B474" s="1" t="s">
        <v>38</v>
      </c>
      <c r="C474" s="1" t="s">
        <v>39</v>
      </c>
    </row>
    <row r="475" spans="1:3">
      <c r="A475" s="3">
        <v>34036</v>
      </c>
      <c r="B475">
        <v>329.5</v>
      </c>
      <c r="C475">
        <v>327</v>
      </c>
    </row>
    <row r="476" spans="1:3">
      <c r="A476" s="3">
        <v>34037</v>
      </c>
      <c r="B476">
        <v>328.2</v>
      </c>
      <c r="C476">
        <v>326.6</v>
      </c>
    </row>
    <row r="477" spans="1:3">
      <c r="A477" s="3">
        <v>34038</v>
      </c>
      <c r="B477">
        <v>327.7</v>
      </c>
      <c r="C477">
        <v>325.8</v>
      </c>
    </row>
    <row r="478" spans="1:3">
      <c r="A478" s="3">
        <v>34039</v>
      </c>
      <c r="B478">
        <v>328</v>
      </c>
      <c r="C478">
        <v>326.8</v>
      </c>
    </row>
    <row r="479" spans="1:1">
      <c r="A479" s="1" t="s">
        <v>146</v>
      </c>
    </row>
    <row r="480" spans="1:8">
      <c r="A480" s="1" t="s">
        <v>37</v>
      </c>
      <c r="B480" s="1" t="s">
        <v>38</v>
      </c>
      <c r="C480" s="1" t="s">
        <v>39</v>
      </c>
      <c r="D480" s="1" t="s">
        <v>42</v>
      </c>
      <c r="E480" s="1" t="s">
        <v>147</v>
      </c>
      <c r="F480" s="1" t="s">
        <v>148</v>
      </c>
      <c r="G480" s="1" t="s">
        <v>149</v>
      </c>
      <c r="H480" s="1" t="s">
        <v>52</v>
      </c>
    </row>
    <row r="481" spans="1:8">
      <c r="A481" s="3">
        <v>33973</v>
      </c>
      <c r="B481">
        <v>329.4</v>
      </c>
      <c r="C481">
        <v>326.5</v>
      </c>
      <c r="D481">
        <v>328.4</v>
      </c>
      <c r="E481">
        <v>328.4</v>
      </c>
      <c r="F481">
        <v>328.4</v>
      </c>
      <c r="G481" t="s">
        <v>53</v>
      </c>
      <c r="H481" t="s">
        <v>83</v>
      </c>
    </row>
    <row r="482" spans="1:8">
      <c r="A482" s="3">
        <v>33974</v>
      </c>
      <c r="B482">
        <v>329.5</v>
      </c>
      <c r="C482">
        <v>328.5</v>
      </c>
      <c r="D482">
        <v>329</v>
      </c>
      <c r="E482">
        <v>328.6</v>
      </c>
      <c r="F482">
        <v>328.457142857143</v>
      </c>
      <c r="G482" t="s">
        <v>104</v>
      </c>
      <c r="H482" t="s">
        <v>83</v>
      </c>
    </row>
    <row r="483" spans="1:8">
      <c r="A483" s="3">
        <v>33975</v>
      </c>
      <c r="B483">
        <v>330.4</v>
      </c>
      <c r="C483">
        <v>329.2</v>
      </c>
      <c r="D483">
        <v>330.1</v>
      </c>
      <c r="E483">
        <v>329.1</v>
      </c>
      <c r="F483">
        <v>328.613605442177</v>
      </c>
      <c r="G483" t="s">
        <v>104</v>
      </c>
      <c r="H483" t="s">
        <v>83</v>
      </c>
    </row>
    <row r="484" spans="1:8">
      <c r="A484" s="3">
        <v>33976</v>
      </c>
      <c r="B484">
        <v>329.7</v>
      </c>
      <c r="C484">
        <v>328.4</v>
      </c>
      <c r="D484">
        <v>329</v>
      </c>
      <c r="E484">
        <v>329.066666666667</v>
      </c>
      <c r="F484">
        <v>328.650404923874</v>
      </c>
      <c r="G484" t="s">
        <v>104</v>
      </c>
      <c r="H484" t="s">
        <v>83</v>
      </c>
    </row>
    <row r="485" spans="1:8">
      <c r="A485" s="3">
        <v>33977</v>
      </c>
      <c r="B485">
        <v>329.8</v>
      </c>
      <c r="C485">
        <v>328.8</v>
      </c>
      <c r="D485">
        <v>329.5</v>
      </c>
      <c r="E485">
        <v>329.211111111111</v>
      </c>
      <c r="F485">
        <v>328.731318740648</v>
      </c>
      <c r="G485" t="s">
        <v>104</v>
      </c>
      <c r="H485" t="s">
        <v>104</v>
      </c>
    </row>
    <row r="486" spans="1:8">
      <c r="A486" s="3">
        <v>33980</v>
      </c>
      <c r="B486">
        <v>328.9</v>
      </c>
      <c r="C486">
        <v>326.9</v>
      </c>
      <c r="D486">
        <v>327.8</v>
      </c>
      <c r="E486">
        <v>328.740740740741</v>
      </c>
      <c r="F486">
        <v>328.642621717729</v>
      </c>
      <c r="G486" t="s">
        <v>104</v>
      </c>
      <c r="H486" t="s">
        <v>83</v>
      </c>
    </row>
    <row r="487" spans="1:8">
      <c r="A487" s="3">
        <v>33981</v>
      </c>
      <c r="B487">
        <v>330.7</v>
      </c>
      <c r="C487">
        <v>328.1</v>
      </c>
      <c r="D487">
        <v>328.8</v>
      </c>
      <c r="E487">
        <v>328.76049382716</v>
      </c>
      <c r="F487">
        <v>328.657610125564</v>
      </c>
      <c r="G487" t="s">
        <v>104</v>
      </c>
      <c r="H487" t="s">
        <v>83</v>
      </c>
    </row>
    <row r="488" spans="1:8">
      <c r="A488" s="3">
        <v>33982</v>
      </c>
      <c r="B488">
        <v>328.5</v>
      </c>
      <c r="C488">
        <v>326.3</v>
      </c>
      <c r="D488">
        <v>327.6</v>
      </c>
      <c r="E488">
        <v>328.37366255144</v>
      </c>
      <c r="F488">
        <v>328.556885351701</v>
      </c>
      <c r="G488" t="s">
        <v>53</v>
      </c>
      <c r="H488" t="s">
        <v>83</v>
      </c>
    </row>
    <row r="489" spans="1:8">
      <c r="A489" s="3">
        <v>33983</v>
      </c>
      <c r="B489">
        <v>328.5</v>
      </c>
      <c r="C489">
        <v>326.9</v>
      </c>
      <c r="D489">
        <v>327.3</v>
      </c>
      <c r="E489">
        <v>328.015775034294</v>
      </c>
      <c r="F489">
        <v>328.437181984873</v>
      </c>
      <c r="G489" t="s">
        <v>53</v>
      </c>
      <c r="H489" t="s">
        <v>83</v>
      </c>
    </row>
    <row r="490" spans="1:8">
      <c r="A490" s="3">
        <v>33984</v>
      </c>
      <c r="B490">
        <v>328</v>
      </c>
      <c r="C490">
        <v>326.9</v>
      </c>
      <c r="D490">
        <v>327</v>
      </c>
      <c r="E490">
        <v>327.677183356196</v>
      </c>
      <c r="F490">
        <v>328.300307510123</v>
      </c>
      <c r="G490" t="s">
        <v>53</v>
      </c>
      <c r="H490" t="s">
        <v>53</v>
      </c>
    </row>
    <row r="491" spans="1:8">
      <c r="A491" s="3">
        <v>33987</v>
      </c>
      <c r="B491">
        <v>328.2</v>
      </c>
      <c r="C491">
        <v>326.9</v>
      </c>
      <c r="D491">
        <v>328</v>
      </c>
      <c r="E491">
        <v>327.784788904131</v>
      </c>
      <c r="F491">
        <v>328.271706794873</v>
      </c>
      <c r="G491" t="s">
        <v>53</v>
      </c>
      <c r="H491" t="s">
        <v>83</v>
      </c>
    </row>
    <row r="492" spans="1:8">
      <c r="A492" s="3">
        <v>33988</v>
      </c>
      <c r="B492">
        <v>329.4</v>
      </c>
      <c r="C492">
        <v>328.4</v>
      </c>
      <c r="D492">
        <v>328.6</v>
      </c>
      <c r="E492">
        <v>328.056525936087</v>
      </c>
      <c r="F492">
        <v>328.302972814409</v>
      </c>
      <c r="G492" t="s">
        <v>53</v>
      </c>
      <c r="H492" t="s">
        <v>83</v>
      </c>
    </row>
    <row r="493" spans="1:8">
      <c r="A493" s="3">
        <v>33989</v>
      </c>
      <c r="B493">
        <v>330.4</v>
      </c>
      <c r="C493">
        <v>328.2</v>
      </c>
      <c r="D493">
        <v>329.8</v>
      </c>
      <c r="E493">
        <v>328.637683957391</v>
      </c>
      <c r="F493">
        <v>328.445546832084</v>
      </c>
      <c r="G493" t="s">
        <v>104</v>
      </c>
      <c r="H493" t="s">
        <v>83</v>
      </c>
    </row>
    <row r="494" spans="1:8">
      <c r="A494" s="3">
        <v>33990</v>
      </c>
      <c r="B494">
        <v>330.3</v>
      </c>
      <c r="C494">
        <v>328.9</v>
      </c>
      <c r="D494">
        <v>329.3</v>
      </c>
      <c r="E494">
        <v>328.858455971594</v>
      </c>
      <c r="F494">
        <v>328.526923324267</v>
      </c>
      <c r="G494" t="s">
        <v>104</v>
      </c>
      <c r="H494" t="s">
        <v>83</v>
      </c>
    </row>
    <row r="495" spans="1:8">
      <c r="A495" s="3">
        <v>33991</v>
      </c>
      <c r="B495">
        <v>329.7</v>
      </c>
      <c r="C495">
        <v>328.5</v>
      </c>
      <c r="D495">
        <v>328.6</v>
      </c>
      <c r="E495">
        <v>328.772303981063</v>
      </c>
      <c r="F495">
        <v>328.53388300767</v>
      </c>
      <c r="G495" t="s">
        <v>104</v>
      </c>
      <c r="H495" t="s">
        <v>104</v>
      </c>
    </row>
    <row r="496" spans="1:8">
      <c r="A496" s="3">
        <v>33994</v>
      </c>
      <c r="B496">
        <v>329.1</v>
      </c>
      <c r="C496">
        <v>328.2</v>
      </c>
      <c r="D496">
        <v>328.8</v>
      </c>
      <c r="E496">
        <v>328.781535987375</v>
      </c>
      <c r="F496">
        <v>328.55922748313</v>
      </c>
      <c r="G496" t="s">
        <v>104</v>
      </c>
      <c r="H496" t="s">
        <v>83</v>
      </c>
    </row>
    <row r="497" spans="1:8">
      <c r="A497" s="3">
        <v>33995</v>
      </c>
      <c r="B497">
        <v>331.5</v>
      </c>
      <c r="C497">
        <v>329.3</v>
      </c>
      <c r="D497">
        <v>331.1</v>
      </c>
      <c r="E497">
        <v>329.554357324917</v>
      </c>
      <c r="F497">
        <v>328.80120581807</v>
      </c>
      <c r="G497" t="s">
        <v>104</v>
      </c>
      <c r="H497" t="s">
        <v>83</v>
      </c>
    </row>
    <row r="498" spans="1:8">
      <c r="A498" s="3">
        <v>33996</v>
      </c>
      <c r="B498">
        <v>331.6</v>
      </c>
      <c r="C498">
        <v>330.3</v>
      </c>
      <c r="D498">
        <v>330.4</v>
      </c>
      <c r="E498">
        <v>329.836238216611</v>
      </c>
      <c r="F498">
        <v>328.953471930635</v>
      </c>
      <c r="G498" t="s">
        <v>104</v>
      </c>
      <c r="H498" t="s">
        <v>83</v>
      </c>
    </row>
    <row r="499" spans="1:8">
      <c r="A499" s="3">
        <v>33997</v>
      </c>
      <c r="B499">
        <v>331.2</v>
      </c>
      <c r="C499">
        <v>330.4</v>
      </c>
      <c r="D499">
        <v>331.1</v>
      </c>
      <c r="E499">
        <v>330.257492144407</v>
      </c>
      <c r="F499">
        <v>329.157903175336</v>
      </c>
      <c r="G499" t="s">
        <v>104</v>
      </c>
      <c r="H499" t="s">
        <v>83</v>
      </c>
    </row>
    <row r="500" spans="1:8">
      <c r="A500" s="3">
        <v>33998</v>
      </c>
      <c r="B500">
        <v>333</v>
      </c>
      <c r="C500">
        <v>330.6</v>
      </c>
      <c r="D500">
        <v>330.7</v>
      </c>
      <c r="E500">
        <v>330.404994762938</v>
      </c>
      <c r="F500">
        <v>329.30476953959</v>
      </c>
      <c r="G500" t="s">
        <v>104</v>
      </c>
      <c r="H500" t="s">
        <v>104</v>
      </c>
    </row>
    <row r="501" spans="1:8">
      <c r="A501" s="3">
        <v>34001</v>
      </c>
      <c r="B501">
        <v>331.2</v>
      </c>
      <c r="C501">
        <v>330.1</v>
      </c>
      <c r="D501">
        <v>330.7</v>
      </c>
      <c r="E501">
        <v>330.503329841959</v>
      </c>
      <c r="F501">
        <v>329.437648631058</v>
      </c>
      <c r="G501" t="s">
        <v>104</v>
      </c>
      <c r="H501" t="s">
        <v>83</v>
      </c>
    </row>
    <row r="502" spans="1:8">
      <c r="A502" s="3">
        <v>34002</v>
      </c>
      <c r="B502">
        <v>331.1</v>
      </c>
      <c r="C502">
        <v>330</v>
      </c>
      <c r="D502">
        <v>330.6</v>
      </c>
      <c r="E502">
        <v>330.535553227973</v>
      </c>
      <c r="F502">
        <v>329.548348761433</v>
      </c>
      <c r="G502" t="s">
        <v>104</v>
      </c>
      <c r="H502" t="s">
        <v>83</v>
      </c>
    </row>
    <row r="503" spans="1:8">
      <c r="A503" s="3">
        <v>34003</v>
      </c>
      <c r="B503">
        <v>330.2</v>
      </c>
      <c r="C503">
        <v>329.1</v>
      </c>
      <c r="D503">
        <v>329.5</v>
      </c>
      <c r="E503">
        <v>330.190368818648</v>
      </c>
      <c r="F503">
        <v>329.543744117487</v>
      </c>
      <c r="G503" t="s">
        <v>104</v>
      </c>
      <c r="H503" t="s">
        <v>83</v>
      </c>
    </row>
    <row r="504" spans="1:8">
      <c r="A504" s="3">
        <v>34004</v>
      </c>
      <c r="B504">
        <v>329.3</v>
      </c>
      <c r="C504">
        <v>328.5</v>
      </c>
      <c r="D504">
        <v>329.2</v>
      </c>
      <c r="E504">
        <v>329.860245879099</v>
      </c>
      <c r="F504">
        <v>329.511006582488</v>
      </c>
      <c r="G504" t="s">
        <v>104</v>
      </c>
      <c r="H504" t="s">
        <v>83</v>
      </c>
    </row>
    <row r="505" spans="1:8">
      <c r="A505" s="3">
        <v>34005</v>
      </c>
      <c r="B505">
        <v>329.3</v>
      </c>
      <c r="C505">
        <v>328.6</v>
      </c>
      <c r="D505">
        <v>328.9</v>
      </c>
      <c r="E505">
        <v>329.540163919399</v>
      </c>
      <c r="F505">
        <v>329.452815479394</v>
      </c>
      <c r="G505" t="s">
        <v>104</v>
      </c>
      <c r="H505" t="s">
        <v>104</v>
      </c>
    </row>
    <row r="506" spans="1:8">
      <c r="A506" s="3">
        <v>34008</v>
      </c>
      <c r="B506">
        <v>329.4</v>
      </c>
      <c r="C506">
        <v>328.3</v>
      </c>
      <c r="D506">
        <v>329.1</v>
      </c>
      <c r="E506">
        <v>329.393442612933</v>
      </c>
      <c r="F506">
        <v>329.419214005166</v>
      </c>
      <c r="G506" t="s">
        <v>53</v>
      </c>
      <c r="H506" t="s">
        <v>83</v>
      </c>
    </row>
    <row r="507" spans="1:8">
      <c r="A507" s="3">
        <v>34009</v>
      </c>
      <c r="B507">
        <v>329.8</v>
      </c>
      <c r="C507">
        <v>329</v>
      </c>
      <c r="D507">
        <v>329.6</v>
      </c>
      <c r="E507">
        <v>329.462295075289</v>
      </c>
      <c r="F507">
        <v>329.43643171896</v>
      </c>
      <c r="G507" t="s">
        <v>104</v>
      </c>
      <c r="H507" t="s">
        <v>83</v>
      </c>
    </row>
    <row r="508" spans="1:8">
      <c r="A508" s="3">
        <v>34010</v>
      </c>
      <c r="B508">
        <v>333.8</v>
      </c>
      <c r="C508">
        <v>330.3</v>
      </c>
      <c r="D508">
        <v>333.7</v>
      </c>
      <c r="E508">
        <v>330.874863383526</v>
      </c>
      <c r="F508">
        <v>329.842485840964</v>
      </c>
      <c r="G508" t="s">
        <v>104</v>
      </c>
      <c r="H508" t="s">
        <v>83</v>
      </c>
    </row>
    <row r="509" spans="1:8">
      <c r="A509" s="3">
        <v>34011</v>
      </c>
      <c r="B509">
        <v>334.6</v>
      </c>
      <c r="C509">
        <v>332.2</v>
      </c>
      <c r="D509">
        <v>332.7</v>
      </c>
      <c r="E509">
        <v>331.483242255684</v>
      </c>
      <c r="F509">
        <v>330.114630046586</v>
      </c>
      <c r="G509" t="s">
        <v>104</v>
      </c>
      <c r="H509" t="s">
        <v>83</v>
      </c>
    </row>
    <row r="510" spans="1:8">
      <c r="A510" s="3">
        <v>34012</v>
      </c>
      <c r="B510">
        <v>331.8</v>
      </c>
      <c r="C510">
        <v>328.8</v>
      </c>
      <c r="D510">
        <v>332.7</v>
      </c>
      <c r="E510">
        <v>331.888828170456</v>
      </c>
      <c r="F510">
        <v>330.360855756435</v>
      </c>
      <c r="G510" t="s">
        <v>104</v>
      </c>
      <c r="H510" t="s">
        <v>104</v>
      </c>
    </row>
    <row r="511" spans="1:8">
      <c r="A511" s="3">
        <v>34015</v>
      </c>
      <c r="B511">
        <v>331.8</v>
      </c>
      <c r="C511">
        <v>328.8</v>
      </c>
      <c r="D511">
        <v>330</v>
      </c>
      <c r="E511">
        <v>331.259218780304</v>
      </c>
      <c r="F511">
        <v>330.326488541536</v>
      </c>
      <c r="G511" t="s">
        <v>104</v>
      </c>
      <c r="H511" t="s">
        <v>83</v>
      </c>
    </row>
    <row r="512" spans="1:8">
      <c r="A512" s="3">
        <v>34016</v>
      </c>
      <c r="B512">
        <v>334.4</v>
      </c>
      <c r="C512">
        <v>330.5</v>
      </c>
      <c r="D512">
        <v>333.4</v>
      </c>
      <c r="E512">
        <v>331.972812520203</v>
      </c>
      <c r="F512">
        <v>330.619203918533</v>
      </c>
      <c r="G512" t="s">
        <v>104</v>
      </c>
      <c r="H512" t="s">
        <v>83</v>
      </c>
    </row>
    <row r="513" spans="1:8">
      <c r="A513" s="3">
        <v>34017</v>
      </c>
      <c r="B513">
        <v>332.9</v>
      </c>
      <c r="C513">
        <v>330.8</v>
      </c>
      <c r="D513">
        <v>331.5</v>
      </c>
      <c r="E513">
        <v>331.815208346802</v>
      </c>
      <c r="F513">
        <v>330.703089259625</v>
      </c>
      <c r="G513" t="s">
        <v>104</v>
      </c>
      <c r="H513" t="s">
        <v>83</v>
      </c>
    </row>
    <row r="514" spans="1:8">
      <c r="A514" s="3">
        <v>34018</v>
      </c>
      <c r="B514">
        <v>332.8</v>
      </c>
      <c r="C514">
        <v>329.8</v>
      </c>
      <c r="D514">
        <v>331.5</v>
      </c>
      <c r="E514">
        <v>331.710138897868</v>
      </c>
      <c r="F514">
        <v>330.778985520613</v>
      </c>
      <c r="G514" t="s">
        <v>104</v>
      </c>
      <c r="H514" t="s">
        <v>83</v>
      </c>
    </row>
    <row r="515" spans="1:8">
      <c r="A515" s="3">
        <v>34019</v>
      </c>
      <c r="B515">
        <v>332.5</v>
      </c>
      <c r="C515">
        <v>330.8</v>
      </c>
      <c r="D515">
        <v>331</v>
      </c>
      <c r="E515">
        <v>331.473425931912</v>
      </c>
      <c r="F515">
        <v>330.80003451865</v>
      </c>
      <c r="G515" t="s">
        <v>104</v>
      </c>
      <c r="H515" t="s">
        <v>104</v>
      </c>
    </row>
    <row r="516" spans="1:8">
      <c r="A516" s="3">
        <v>34022</v>
      </c>
      <c r="B516">
        <v>332</v>
      </c>
      <c r="C516">
        <v>328.7</v>
      </c>
      <c r="D516">
        <v>328.8</v>
      </c>
      <c r="E516">
        <v>330.582283954608</v>
      </c>
      <c r="F516">
        <v>330.609555040683</v>
      </c>
      <c r="G516" t="s">
        <v>53</v>
      </c>
      <c r="H516" t="s">
        <v>83</v>
      </c>
    </row>
    <row r="517" spans="1:8">
      <c r="A517" s="3">
        <v>34023</v>
      </c>
      <c r="B517">
        <v>331.9</v>
      </c>
      <c r="C517">
        <v>330.2</v>
      </c>
      <c r="D517">
        <v>331.6</v>
      </c>
      <c r="E517">
        <v>330.921522636405</v>
      </c>
      <c r="F517">
        <v>330.703883132047</v>
      </c>
      <c r="G517" t="s">
        <v>104</v>
      </c>
      <c r="H517" t="s">
        <v>83</v>
      </c>
    </row>
    <row r="518" spans="1:8">
      <c r="A518" s="3">
        <v>34024</v>
      </c>
      <c r="B518">
        <v>332.2</v>
      </c>
      <c r="C518">
        <v>330.1</v>
      </c>
      <c r="D518">
        <v>330.4</v>
      </c>
      <c r="E518">
        <v>330.747681757604</v>
      </c>
      <c r="F518">
        <v>330.674941881376</v>
      </c>
      <c r="G518" t="s">
        <v>104</v>
      </c>
      <c r="H518" t="s">
        <v>83</v>
      </c>
    </row>
    <row r="519" spans="1:8">
      <c r="A519" s="3">
        <v>34025</v>
      </c>
      <c r="B519">
        <v>331.4</v>
      </c>
      <c r="C519">
        <v>330.3</v>
      </c>
      <c r="D519">
        <v>330.6</v>
      </c>
      <c r="E519">
        <v>330.698454505069</v>
      </c>
      <c r="F519">
        <v>330.66780455934</v>
      </c>
      <c r="G519" t="s">
        <v>104</v>
      </c>
      <c r="H519" t="s">
        <v>83</v>
      </c>
    </row>
    <row r="520" spans="1:8">
      <c r="A520" s="3">
        <v>34026</v>
      </c>
      <c r="B520">
        <v>329.8</v>
      </c>
      <c r="C520">
        <v>327.8</v>
      </c>
      <c r="D520">
        <v>329</v>
      </c>
      <c r="E520">
        <v>330.132303003379</v>
      </c>
      <c r="F520">
        <v>330.508966029879</v>
      </c>
      <c r="G520" t="s">
        <v>53</v>
      </c>
      <c r="H520" t="s">
        <v>53</v>
      </c>
    </row>
    <row r="521" spans="1:8">
      <c r="A521" s="3">
        <v>34029</v>
      </c>
      <c r="B521">
        <v>329.8</v>
      </c>
      <c r="C521">
        <v>329.1</v>
      </c>
      <c r="D521">
        <v>329.3</v>
      </c>
      <c r="E521">
        <v>329.85486866892</v>
      </c>
      <c r="F521">
        <v>330.393826407986</v>
      </c>
      <c r="G521" t="s">
        <v>53</v>
      </c>
      <c r="H521" t="s">
        <v>83</v>
      </c>
    </row>
    <row r="522" spans="1:8">
      <c r="A522" s="3">
        <v>34030</v>
      </c>
      <c r="B522">
        <v>330.7</v>
      </c>
      <c r="C522">
        <v>329.5</v>
      </c>
      <c r="D522">
        <v>330.5</v>
      </c>
      <c r="E522">
        <v>330.069912445946</v>
      </c>
      <c r="F522">
        <v>330.403938178654</v>
      </c>
      <c r="G522" t="s">
        <v>53</v>
      </c>
      <c r="H522" t="s">
        <v>83</v>
      </c>
    </row>
    <row r="523" spans="1:8">
      <c r="A523" s="3">
        <v>34031</v>
      </c>
      <c r="B523">
        <v>330.9</v>
      </c>
      <c r="C523">
        <v>329.5</v>
      </c>
      <c r="D523">
        <v>329.7</v>
      </c>
      <c r="E523">
        <v>329.946608297298</v>
      </c>
      <c r="F523">
        <v>330.336896447353</v>
      </c>
      <c r="G523" t="s">
        <v>53</v>
      </c>
      <c r="H523" t="s">
        <v>83</v>
      </c>
    </row>
    <row r="524" spans="1:8">
      <c r="A524" s="3">
        <v>34032</v>
      </c>
      <c r="B524">
        <v>329.7</v>
      </c>
      <c r="C524">
        <v>328.6</v>
      </c>
      <c r="D524">
        <v>329.6</v>
      </c>
      <c r="E524">
        <v>329.831072198199</v>
      </c>
      <c r="F524">
        <v>330.26671583332</v>
      </c>
      <c r="G524" t="s">
        <v>53</v>
      </c>
      <c r="H524" t="s">
        <v>83</v>
      </c>
    </row>
    <row r="525" spans="1:8">
      <c r="A525" s="3">
        <v>34033</v>
      </c>
      <c r="B525">
        <v>331.3</v>
      </c>
      <c r="C525">
        <v>330.2</v>
      </c>
      <c r="D525">
        <v>330.4</v>
      </c>
      <c r="E525">
        <v>330.020714798799</v>
      </c>
      <c r="F525">
        <v>330.27940956348</v>
      </c>
      <c r="G525" t="s">
        <v>53</v>
      </c>
      <c r="H525" t="s">
        <v>53</v>
      </c>
    </row>
    <row r="526" spans="1:8">
      <c r="A526" s="3">
        <v>34036</v>
      </c>
      <c r="B526">
        <v>329.5</v>
      </c>
      <c r="C526">
        <v>327</v>
      </c>
      <c r="D526">
        <v>327.7</v>
      </c>
      <c r="E526">
        <v>329.247143199199</v>
      </c>
      <c r="F526">
        <v>330.033751509815</v>
      </c>
      <c r="G526" t="s">
        <v>53</v>
      </c>
      <c r="H526" t="s">
        <v>83</v>
      </c>
    </row>
    <row r="527" spans="1:8">
      <c r="A527" s="3">
        <v>34037</v>
      </c>
      <c r="B527">
        <v>328.2</v>
      </c>
      <c r="C527">
        <v>326.6</v>
      </c>
      <c r="D527">
        <v>327.2</v>
      </c>
      <c r="E527">
        <v>328.5647621328</v>
      </c>
      <c r="F527">
        <v>329.763870413642</v>
      </c>
      <c r="G527" t="s">
        <v>53</v>
      </c>
      <c r="H527" t="s">
        <v>83</v>
      </c>
    </row>
    <row r="528" spans="1:8">
      <c r="A528" s="3">
        <v>34038</v>
      </c>
      <c r="B528">
        <v>327.7</v>
      </c>
      <c r="C528">
        <v>325.8</v>
      </c>
      <c r="D528">
        <v>326.9</v>
      </c>
      <c r="E528">
        <v>328.009841421866</v>
      </c>
      <c r="F528">
        <v>329.491120850438</v>
      </c>
      <c r="G528" t="s">
        <v>53</v>
      </c>
      <c r="H528" t="s">
        <v>83</v>
      </c>
    </row>
    <row r="529" spans="1:8">
      <c r="A529" s="3">
        <v>34039</v>
      </c>
      <c r="B529">
        <v>328</v>
      </c>
      <c r="C529">
        <v>326.8</v>
      </c>
      <c r="D529">
        <v>327.6</v>
      </c>
      <c r="E529">
        <v>327.873227614578</v>
      </c>
      <c r="F529">
        <v>329.311014102777</v>
      </c>
      <c r="G529" t="s">
        <v>53</v>
      </c>
      <c r="H529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topLeftCell="F23" workbookViewId="0">
      <selection activeCell="U46" sqref="U46"/>
    </sheetView>
  </sheetViews>
  <sheetFormatPr defaultColWidth="9" defaultRowHeight="14.5"/>
  <cols>
    <col min="21" max="21" width="14"/>
  </cols>
  <sheetData>
    <row r="1" spans="1:22">
      <c r="A1" s="1" t="s">
        <v>66</v>
      </c>
      <c r="B1" s="1" t="s">
        <v>51</v>
      </c>
      <c r="C1" s="1" t="s">
        <v>52</v>
      </c>
      <c r="D1" s="1" t="s">
        <v>67</v>
      </c>
      <c r="E1" s="1" t="s">
        <v>68</v>
      </c>
      <c r="F1" s="1" t="s">
        <v>48</v>
      </c>
      <c r="G1" s="1" t="s">
        <v>49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150</v>
      </c>
    </row>
    <row r="2" spans="1:22">
      <c r="A2" t="s">
        <v>53</v>
      </c>
      <c r="B2" s="2">
        <v>33984</v>
      </c>
      <c r="C2" t="s">
        <v>53</v>
      </c>
      <c r="D2" s="2">
        <v>33977</v>
      </c>
      <c r="E2" s="2">
        <v>33983</v>
      </c>
      <c r="F2">
        <v>330.7</v>
      </c>
      <c r="G2">
        <v>326.3</v>
      </c>
      <c r="H2" s="2">
        <v>33987</v>
      </c>
      <c r="I2" s="2">
        <v>33991</v>
      </c>
      <c r="J2" t="s">
        <v>53</v>
      </c>
      <c r="K2">
        <v>1</v>
      </c>
      <c r="L2" t="s">
        <v>83</v>
      </c>
      <c r="M2">
        <v>329.6616</v>
      </c>
      <c r="N2" t="s">
        <v>83</v>
      </c>
      <c r="O2" t="s">
        <v>83</v>
      </c>
      <c r="P2" t="s">
        <v>84</v>
      </c>
      <c r="Q2" t="s">
        <v>85</v>
      </c>
      <c r="R2" t="s">
        <v>85</v>
      </c>
      <c r="S2" t="s">
        <v>83</v>
      </c>
      <c r="T2" t="s">
        <v>83</v>
      </c>
      <c r="U2">
        <v>0.64</v>
      </c>
      <c r="V2">
        <v>-6.72855859658011</v>
      </c>
    </row>
    <row r="3" spans="1:22">
      <c r="A3" t="s">
        <v>53</v>
      </c>
      <c r="B3" s="2">
        <v>33984</v>
      </c>
      <c r="C3" t="s">
        <v>53</v>
      </c>
      <c r="D3" s="2">
        <v>33977</v>
      </c>
      <c r="E3" s="2">
        <v>33983</v>
      </c>
      <c r="F3">
        <v>330.7</v>
      </c>
      <c r="G3">
        <v>326.3</v>
      </c>
      <c r="H3" s="2">
        <v>33987</v>
      </c>
      <c r="I3" s="2">
        <v>33991</v>
      </c>
      <c r="J3" t="s">
        <v>53</v>
      </c>
      <c r="K3">
        <v>2</v>
      </c>
      <c r="L3">
        <v>1</v>
      </c>
      <c r="M3">
        <v>329.0192</v>
      </c>
      <c r="N3" t="s">
        <v>83</v>
      </c>
      <c r="O3" t="s">
        <v>86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>
        <v>0.52</v>
      </c>
      <c r="V3">
        <v>-6.72855859658011</v>
      </c>
    </row>
    <row r="4" spans="1:22">
      <c r="A4" t="s">
        <v>53</v>
      </c>
      <c r="B4" s="2">
        <v>33984</v>
      </c>
      <c r="C4" t="s">
        <v>53</v>
      </c>
      <c r="D4" s="2">
        <v>33977</v>
      </c>
      <c r="E4" s="2">
        <v>33983</v>
      </c>
      <c r="F4">
        <v>330.7</v>
      </c>
      <c r="G4">
        <v>326.3</v>
      </c>
      <c r="H4" s="2">
        <v>33987</v>
      </c>
      <c r="I4" s="2">
        <v>33991</v>
      </c>
      <c r="J4" t="s">
        <v>53</v>
      </c>
      <c r="K4">
        <v>2</v>
      </c>
      <c r="L4">
        <v>2</v>
      </c>
      <c r="M4">
        <v>329.0192</v>
      </c>
      <c r="N4" t="s">
        <v>83</v>
      </c>
      <c r="O4" t="s">
        <v>87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88</v>
      </c>
      <c r="V4">
        <v>-6.72855859658011</v>
      </c>
    </row>
    <row r="5" spans="1:22">
      <c r="A5" t="s">
        <v>53</v>
      </c>
      <c r="B5" s="2">
        <v>33984</v>
      </c>
      <c r="C5" t="s">
        <v>53</v>
      </c>
      <c r="D5" s="2">
        <v>33977</v>
      </c>
      <c r="E5" s="2">
        <v>33983</v>
      </c>
      <c r="F5">
        <v>330.7</v>
      </c>
      <c r="G5">
        <v>326.3</v>
      </c>
      <c r="H5" s="2">
        <v>33987</v>
      </c>
      <c r="I5" s="2">
        <v>33991</v>
      </c>
      <c r="J5" t="s">
        <v>53</v>
      </c>
      <c r="K5">
        <v>3</v>
      </c>
      <c r="L5">
        <v>1</v>
      </c>
      <c r="M5">
        <v>327.9808</v>
      </c>
      <c r="N5" t="s">
        <v>89</v>
      </c>
      <c r="O5" t="s">
        <v>85</v>
      </c>
      <c r="P5" t="s">
        <v>85</v>
      </c>
      <c r="Q5" t="s">
        <v>85</v>
      </c>
      <c r="R5" t="s">
        <v>85</v>
      </c>
      <c r="S5" t="s">
        <v>83</v>
      </c>
      <c r="T5" t="s">
        <v>83</v>
      </c>
      <c r="U5">
        <v>0.74</v>
      </c>
      <c r="V5">
        <v>-6.72855859658011</v>
      </c>
    </row>
    <row r="6" spans="1:22">
      <c r="A6" t="s">
        <v>53</v>
      </c>
      <c r="B6" s="2">
        <v>33984</v>
      </c>
      <c r="C6" t="s">
        <v>53</v>
      </c>
      <c r="D6" s="2">
        <v>33977</v>
      </c>
      <c r="E6" s="2">
        <v>33983</v>
      </c>
      <c r="F6">
        <v>330.7</v>
      </c>
      <c r="G6">
        <v>326.3</v>
      </c>
      <c r="H6" s="2">
        <v>33987</v>
      </c>
      <c r="I6" s="2">
        <v>33991</v>
      </c>
      <c r="J6" t="s">
        <v>53</v>
      </c>
      <c r="K6">
        <v>3</v>
      </c>
      <c r="L6">
        <v>2</v>
      </c>
      <c r="M6">
        <v>327.9808</v>
      </c>
      <c r="N6" t="s">
        <v>87</v>
      </c>
      <c r="O6" t="s">
        <v>90</v>
      </c>
      <c r="P6" t="s">
        <v>85</v>
      </c>
      <c r="Q6" t="s">
        <v>85</v>
      </c>
      <c r="R6" t="s">
        <v>85</v>
      </c>
      <c r="S6" t="s">
        <v>83</v>
      </c>
      <c r="T6" t="s">
        <v>83</v>
      </c>
      <c r="U6">
        <v>-1.04</v>
      </c>
      <c r="V6">
        <v>-6.72855859658011</v>
      </c>
    </row>
    <row r="7" spans="1:22">
      <c r="A7" t="s">
        <v>53</v>
      </c>
      <c r="B7" s="2">
        <v>33984</v>
      </c>
      <c r="C7" t="s">
        <v>53</v>
      </c>
      <c r="D7" s="2">
        <v>33977</v>
      </c>
      <c r="E7" s="2">
        <v>33983</v>
      </c>
      <c r="F7">
        <v>330.7</v>
      </c>
      <c r="G7">
        <v>326.3</v>
      </c>
      <c r="H7" s="2">
        <v>33987</v>
      </c>
      <c r="I7" s="2">
        <v>33991</v>
      </c>
      <c r="J7" t="s">
        <v>53</v>
      </c>
      <c r="K7">
        <v>4</v>
      </c>
      <c r="L7" t="s">
        <v>83</v>
      </c>
      <c r="M7">
        <v>327.2416</v>
      </c>
      <c r="N7" t="s">
        <v>91</v>
      </c>
      <c r="O7" t="s">
        <v>85</v>
      </c>
      <c r="P7" t="s">
        <v>85</v>
      </c>
      <c r="Q7" t="s">
        <v>85</v>
      </c>
      <c r="R7" t="s">
        <v>85</v>
      </c>
      <c r="S7" t="s">
        <v>83</v>
      </c>
      <c r="T7" t="s">
        <v>83</v>
      </c>
      <c r="U7">
        <v>-0.74</v>
      </c>
      <c r="V7">
        <v>-6.72855859658011</v>
      </c>
    </row>
    <row r="8" spans="1:22">
      <c r="A8" t="s">
        <v>104</v>
      </c>
      <c r="B8" s="2">
        <v>33991</v>
      </c>
      <c r="C8" t="s">
        <v>104</v>
      </c>
      <c r="D8" s="2">
        <v>33984</v>
      </c>
      <c r="E8" s="2">
        <v>33990</v>
      </c>
      <c r="F8">
        <v>330.4</v>
      </c>
      <c r="G8">
        <v>326.9</v>
      </c>
      <c r="H8" s="2">
        <v>33994</v>
      </c>
      <c r="I8" s="2">
        <v>33998</v>
      </c>
      <c r="J8" t="s">
        <v>104</v>
      </c>
      <c r="K8">
        <v>1</v>
      </c>
      <c r="L8" t="s">
        <v>83</v>
      </c>
      <c r="M8">
        <v>329.574</v>
      </c>
      <c r="N8" t="s">
        <v>105</v>
      </c>
      <c r="O8" t="s">
        <v>85</v>
      </c>
      <c r="P8" t="s">
        <v>85</v>
      </c>
      <c r="Q8" t="s">
        <v>85</v>
      </c>
      <c r="R8" t="s">
        <v>85</v>
      </c>
      <c r="S8" t="s">
        <v>83</v>
      </c>
      <c r="T8" t="s">
        <v>83</v>
      </c>
      <c r="U8">
        <v>-1.02</v>
      </c>
      <c r="V8">
        <v>-6.72855859658011</v>
      </c>
    </row>
    <row r="9" spans="1:22">
      <c r="A9" t="s">
        <v>104</v>
      </c>
      <c r="B9" s="2">
        <v>33991</v>
      </c>
      <c r="C9" t="s">
        <v>104</v>
      </c>
      <c r="D9" s="2">
        <v>33984</v>
      </c>
      <c r="E9" s="2">
        <v>33990</v>
      </c>
      <c r="F9">
        <v>330.4</v>
      </c>
      <c r="G9">
        <v>326.9</v>
      </c>
      <c r="H9" s="2">
        <v>33994</v>
      </c>
      <c r="I9" s="2">
        <v>33998</v>
      </c>
      <c r="J9" t="s">
        <v>104</v>
      </c>
      <c r="K9">
        <v>2</v>
      </c>
      <c r="L9">
        <v>1</v>
      </c>
      <c r="M9">
        <v>329.063</v>
      </c>
      <c r="N9" t="s">
        <v>106</v>
      </c>
      <c r="O9" t="s">
        <v>85</v>
      </c>
      <c r="P9" t="s">
        <v>85</v>
      </c>
      <c r="Q9" t="s">
        <v>85</v>
      </c>
      <c r="R9" t="s">
        <v>85</v>
      </c>
      <c r="S9" t="s">
        <v>83</v>
      </c>
      <c r="T9" t="s">
        <v>83</v>
      </c>
      <c r="U9">
        <v>-0.51</v>
      </c>
      <c r="V9">
        <v>-6.72855859658011</v>
      </c>
    </row>
    <row r="10" spans="1:22">
      <c r="A10" t="s">
        <v>104</v>
      </c>
      <c r="B10" s="2">
        <v>33991</v>
      </c>
      <c r="C10" t="s">
        <v>104</v>
      </c>
      <c r="D10" s="2">
        <v>33984</v>
      </c>
      <c r="E10" s="2">
        <v>33990</v>
      </c>
      <c r="F10">
        <v>330.4</v>
      </c>
      <c r="G10">
        <v>326.9</v>
      </c>
      <c r="H10" s="2">
        <v>33994</v>
      </c>
      <c r="I10" s="2">
        <v>33998</v>
      </c>
      <c r="J10" t="s">
        <v>104</v>
      </c>
      <c r="K10">
        <v>2</v>
      </c>
      <c r="L10">
        <v>2</v>
      </c>
      <c r="M10">
        <v>329.063</v>
      </c>
      <c r="N10" t="s">
        <v>107</v>
      </c>
      <c r="O10" t="s">
        <v>108</v>
      </c>
      <c r="P10" t="s">
        <v>85</v>
      </c>
      <c r="Q10" t="s">
        <v>85</v>
      </c>
      <c r="R10" t="s">
        <v>85</v>
      </c>
      <c r="S10" t="s">
        <v>83</v>
      </c>
      <c r="T10" t="s">
        <v>83</v>
      </c>
      <c r="U10">
        <v>2.16</v>
      </c>
      <c r="V10">
        <v>-6.72855859658011</v>
      </c>
    </row>
    <row r="11" spans="1:22">
      <c r="A11" t="s">
        <v>104</v>
      </c>
      <c r="B11" s="2">
        <v>33991</v>
      </c>
      <c r="C11" t="s">
        <v>104</v>
      </c>
      <c r="D11" s="2">
        <v>33984</v>
      </c>
      <c r="E11" s="2">
        <v>33990</v>
      </c>
      <c r="F11">
        <v>330.4</v>
      </c>
      <c r="G11">
        <v>326.9</v>
      </c>
      <c r="H11" s="2">
        <v>33994</v>
      </c>
      <c r="I11" s="2">
        <v>33998</v>
      </c>
      <c r="J11" t="s">
        <v>104</v>
      </c>
      <c r="K11">
        <v>3</v>
      </c>
      <c r="L11">
        <v>1</v>
      </c>
      <c r="M11">
        <v>328.237</v>
      </c>
      <c r="N11" t="s">
        <v>107</v>
      </c>
      <c r="O11" t="s">
        <v>109</v>
      </c>
      <c r="P11" t="s">
        <v>85</v>
      </c>
      <c r="Q11" t="s">
        <v>85</v>
      </c>
      <c r="R11" t="s">
        <v>85</v>
      </c>
      <c r="S11" t="s">
        <v>83</v>
      </c>
      <c r="T11" t="s">
        <v>83</v>
      </c>
      <c r="U11">
        <v>1.34</v>
      </c>
      <c r="V11">
        <v>-6.72855859658011</v>
      </c>
    </row>
    <row r="12" spans="1:22">
      <c r="A12" t="s">
        <v>104</v>
      </c>
      <c r="B12" s="2">
        <v>33991</v>
      </c>
      <c r="C12" t="s">
        <v>104</v>
      </c>
      <c r="D12" s="2">
        <v>33984</v>
      </c>
      <c r="E12" s="2">
        <v>33990</v>
      </c>
      <c r="F12">
        <v>330.4</v>
      </c>
      <c r="G12">
        <v>326.9</v>
      </c>
      <c r="H12" s="2">
        <v>33994</v>
      </c>
      <c r="I12" s="2">
        <v>33998</v>
      </c>
      <c r="J12" t="s">
        <v>104</v>
      </c>
      <c r="K12">
        <v>3</v>
      </c>
      <c r="L12">
        <v>2</v>
      </c>
      <c r="M12">
        <v>328.237</v>
      </c>
      <c r="N12" t="s">
        <v>110</v>
      </c>
      <c r="O12" t="s">
        <v>85</v>
      </c>
      <c r="P12" t="s">
        <v>85</v>
      </c>
      <c r="Q12" t="s">
        <v>85</v>
      </c>
      <c r="R12" t="s">
        <v>85</v>
      </c>
      <c r="S12" t="s">
        <v>83</v>
      </c>
      <c r="T12" t="s">
        <v>83</v>
      </c>
      <c r="U12">
        <v>0.83</v>
      </c>
      <c r="V12">
        <v>-6.72855859658011</v>
      </c>
    </row>
    <row r="13" spans="1:22">
      <c r="A13" t="s">
        <v>104</v>
      </c>
      <c r="B13" s="2">
        <v>33991</v>
      </c>
      <c r="C13" t="s">
        <v>104</v>
      </c>
      <c r="D13" s="2">
        <v>33984</v>
      </c>
      <c r="E13" s="2">
        <v>33990</v>
      </c>
      <c r="F13">
        <v>330.4</v>
      </c>
      <c r="G13">
        <v>326.9</v>
      </c>
      <c r="H13" s="2">
        <v>33994</v>
      </c>
      <c r="I13" s="2">
        <v>33998</v>
      </c>
      <c r="J13" t="s">
        <v>104</v>
      </c>
      <c r="K13">
        <v>4</v>
      </c>
      <c r="L13" t="s">
        <v>83</v>
      </c>
      <c r="M13">
        <v>327.649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88</v>
      </c>
      <c r="V13">
        <v>-6.72855859658011</v>
      </c>
    </row>
    <row r="14" spans="1:22">
      <c r="A14" t="s">
        <v>104</v>
      </c>
      <c r="B14" s="2">
        <v>33998</v>
      </c>
      <c r="C14" t="s">
        <v>104</v>
      </c>
      <c r="D14" s="2">
        <v>33991</v>
      </c>
      <c r="E14" s="2">
        <v>33997</v>
      </c>
      <c r="F14">
        <v>331.6</v>
      </c>
      <c r="G14">
        <v>328.2</v>
      </c>
      <c r="H14" s="2">
        <v>34001</v>
      </c>
      <c r="I14" s="2">
        <v>34005</v>
      </c>
      <c r="J14" t="s">
        <v>104</v>
      </c>
      <c r="K14">
        <v>1</v>
      </c>
      <c r="L14" t="s">
        <v>83</v>
      </c>
      <c r="M14">
        <v>330.7976</v>
      </c>
      <c r="N14" t="s">
        <v>107</v>
      </c>
      <c r="O14" t="s">
        <v>83</v>
      </c>
      <c r="P14" t="s">
        <v>112</v>
      </c>
      <c r="Q14" t="s">
        <v>85</v>
      </c>
      <c r="R14" t="s">
        <v>85</v>
      </c>
      <c r="S14" t="s">
        <v>83</v>
      </c>
      <c r="T14" t="s">
        <v>83</v>
      </c>
      <c r="U14">
        <v>-0.99</v>
      </c>
      <c r="V14">
        <v>-6.72855859658011</v>
      </c>
    </row>
    <row r="15" spans="1:22">
      <c r="A15" t="s">
        <v>104</v>
      </c>
      <c r="B15" s="2">
        <v>33998</v>
      </c>
      <c r="C15" t="s">
        <v>104</v>
      </c>
      <c r="D15" s="2">
        <v>33991</v>
      </c>
      <c r="E15" s="2">
        <v>33997</v>
      </c>
      <c r="F15">
        <v>331.6</v>
      </c>
      <c r="G15">
        <v>328.2</v>
      </c>
      <c r="H15" s="2">
        <v>34001</v>
      </c>
      <c r="I15" s="2">
        <v>34005</v>
      </c>
      <c r="J15" t="s">
        <v>104</v>
      </c>
      <c r="K15">
        <v>2</v>
      </c>
      <c r="L15">
        <v>1</v>
      </c>
      <c r="M15">
        <v>330.3012</v>
      </c>
      <c r="N15" t="s">
        <v>107</v>
      </c>
      <c r="O15" t="s">
        <v>83</v>
      </c>
      <c r="P15" t="s">
        <v>113</v>
      </c>
      <c r="Q15" t="s">
        <v>85</v>
      </c>
      <c r="R15" t="s">
        <v>85</v>
      </c>
      <c r="S15" t="s">
        <v>83</v>
      </c>
      <c r="T15" t="s">
        <v>83</v>
      </c>
      <c r="U15">
        <v>-0.5</v>
      </c>
      <c r="V15">
        <v>-6.72855859658011</v>
      </c>
    </row>
    <row r="16" spans="1:22">
      <c r="A16" t="s">
        <v>104</v>
      </c>
      <c r="B16" s="2">
        <v>33998</v>
      </c>
      <c r="C16" t="s">
        <v>104</v>
      </c>
      <c r="D16" s="2">
        <v>33991</v>
      </c>
      <c r="E16" s="2">
        <v>33997</v>
      </c>
      <c r="F16">
        <v>331.6</v>
      </c>
      <c r="G16">
        <v>328.2</v>
      </c>
      <c r="H16" s="2">
        <v>34001</v>
      </c>
      <c r="I16" s="2">
        <v>34005</v>
      </c>
      <c r="J16" t="s">
        <v>104</v>
      </c>
      <c r="K16">
        <v>2</v>
      </c>
      <c r="L16">
        <v>2</v>
      </c>
      <c r="M16">
        <v>330.3012</v>
      </c>
      <c r="N16" t="s">
        <v>107</v>
      </c>
      <c r="O16" t="s">
        <v>83</v>
      </c>
      <c r="P16" t="s">
        <v>114</v>
      </c>
      <c r="Q16" t="s">
        <v>85</v>
      </c>
      <c r="R16" t="s">
        <v>85</v>
      </c>
      <c r="S16" t="s">
        <v>83</v>
      </c>
      <c r="T16" t="s">
        <v>83</v>
      </c>
      <c r="U16">
        <v>-0.94</v>
      </c>
      <c r="V16">
        <v>-6.72855859658011</v>
      </c>
    </row>
    <row r="17" spans="1:22">
      <c r="A17" t="s">
        <v>104</v>
      </c>
      <c r="B17" s="2">
        <v>33998</v>
      </c>
      <c r="C17" t="s">
        <v>104</v>
      </c>
      <c r="D17" s="2">
        <v>33991</v>
      </c>
      <c r="E17" s="2">
        <v>33997</v>
      </c>
      <c r="F17">
        <v>331.6</v>
      </c>
      <c r="G17">
        <v>328.2</v>
      </c>
      <c r="H17" s="2">
        <v>34001</v>
      </c>
      <c r="I17" s="2">
        <v>34005</v>
      </c>
      <c r="J17" t="s">
        <v>104</v>
      </c>
      <c r="K17">
        <v>3</v>
      </c>
      <c r="L17">
        <v>1</v>
      </c>
      <c r="M17">
        <v>329.4988</v>
      </c>
      <c r="N17" t="s">
        <v>83</v>
      </c>
      <c r="O17" t="s">
        <v>83</v>
      </c>
      <c r="P17" t="s">
        <v>107</v>
      </c>
      <c r="Q17" t="s">
        <v>115</v>
      </c>
      <c r="R17" t="s">
        <v>85</v>
      </c>
      <c r="S17" t="s">
        <v>83</v>
      </c>
      <c r="T17" t="s">
        <v>83</v>
      </c>
      <c r="U17">
        <v>-0.94</v>
      </c>
      <c r="V17">
        <v>-6.72855859658011</v>
      </c>
    </row>
    <row r="18" spans="1:22">
      <c r="A18" t="s">
        <v>104</v>
      </c>
      <c r="B18" s="2">
        <v>33998</v>
      </c>
      <c r="C18" t="s">
        <v>104</v>
      </c>
      <c r="D18" s="2">
        <v>33991</v>
      </c>
      <c r="E18" s="2">
        <v>33997</v>
      </c>
      <c r="F18">
        <v>331.6</v>
      </c>
      <c r="G18">
        <v>328.2</v>
      </c>
      <c r="H18" s="2">
        <v>34001</v>
      </c>
      <c r="I18" s="2">
        <v>34005</v>
      </c>
      <c r="J18" t="s">
        <v>104</v>
      </c>
      <c r="K18">
        <v>3</v>
      </c>
      <c r="L18">
        <v>2</v>
      </c>
      <c r="M18">
        <v>329.4988</v>
      </c>
      <c r="N18" t="s">
        <v>83</v>
      </c>
      <c r="O18" t="s">
        <v>83</v>
      </c>
      <c r="P18" t="s">
        <v>107</v>
      </c>
      <c r="Q18" t="s">
        <v>116</v>
      </c>
      <c r="R18" t="s">
        <v>85</v>
      </c>
      <c r="S18" t="s">
        <v>83</v>
      </c>
      <c r="T18" t="s">
        <v>83</v>
      </c>
      <c r="U18">
        <v>-0.94</v>
      </c>
      <c r="V18">
        <v>-6.72855859658011</v>
      </c>
    </row>
    <row r="19" spans="1:22">
      <c r="A19" t="s">
        <v>104</v>
      </c>
      <c r="B19" s="2">
        <v>33998</v>
      </c>
      <c r="C19" t="s">
        <v>104</v>
      </c>
      <c r="D19" s="2">
        <v>33991</v>
      </c>
      <c r="E19" s="2">
        <v>33997</v>
      </c>
      <c r="F19">
        <v>331.6</v>
      </c>
      <c r="G19">
        <v>328.2</v>
      </c>
      <c r="H19" s="2">
        <v>34001</v>
      </c>
      <c r="I19" s="2">
        <v>34005</v>
      </c>
      <c r="J19" t="s">
        <v>104</v>
      </c>
      <c r="K19">
        <v>4</v>
      </c>
      <c r="L19" t="s">
        <v>83</v>
      </c>
      <c r="M19">
        <v>328.9276</v>
      </c>
      <c r="N19" t="s">
        <v>83</v>
      </c>
      <c r="O19" t="s">
        <v>83</v>
      </c>
      <c r="P19" t="s">
        <v>83</v>
      </c>
      <c r="Q19" t="s">
        <v>107</v>
      </c>
      <c r="R19" t="s">
        <v>83</v>
      </c>
      <c r="S19" t="s">
        <v>83</v>
      </c>
      <c r="T19" t="s">
        <v>83</v>
      </c>
      <c r="U19" t="s">
        <v>88</v>
      </c>
      <c r="V19">
        <v>-6.72855859658011</v>
      </c>
    </row>
    <row r="20" spans="1:22">
      <c r="A20" t="s">
        <v>104</v>
      </c>
      <c r="B20" s="2">
        <v>34005</v>
      </c>
      <c r="C20" t="s">
        <v>104</v>
      </c>
      <c r="D20" s="2">
        <v>33998</v>
      </c>
      <c r="E20" s="2">
        <v>34004</v>
      </c>
      <c r="F20">
        <v>333</v>
      </c>
      <c r="G20">
        <v>328.5</v>
      </c>
      <c r="H20" s="2">
        <v>34008</v>
      </c>
      <c r="I20" s="2">
        <v>34012</v>
      </c>
      <c r="J20" t="s">
        <v>104</v>
      </c>
      <c r="K20">
        <v>1</v>
      </c>
      <c r="L20" t="s">
        <v>83</v>
      </c>
      <c r="M20">
        <v>331.938</v>
      </c>
      <c r="N20" t="s">
        <v>118</v>
      </c>
      <c r="O20" t="s">
        <v>85</v>
      </c>
      <c r="P20" t="s">
        <v>85</v>
      </c>
      <c r="Q20" t="s">
        <v>85</v>
      </c>
      <c r="R20" t="s">
        <v>85</v>
      </c>
      <c r="S20" t="s">
        <v>83</v>
      </c>
      <c r="T20" t="s">
        <v>83</v>
      </c>
      <c r="U20">
        <v>-1.31</v>
      </c>
      <c r="V20">
        <v>-6.72855859658011</v>
      </c>
    </row>
    <row r="21" spans="1:22">
      <c r="A21" t="s">
        <v>104</v>
      </c>
      <c r="B21" s="2">
        <v>34005</v>
      </c>
      <c r="C21" t="s">
        <v>104</v>
      </c>
      <c r="D21" s="2">
        <v>33998</v>
      </c>
      <c r="E21" s="2">
        <v>34004</v>
      </c>
      <c r="F21">
        <v>333</v>
      </c>
      <c r="G21">
        <v>328.5</v>
      </c>
      <c r="H21" s="2">
        <v>34008</v>
      </c>
      <c r="I21" s="2">
        <v>34012</v>
      </c>
      <c r="J21" t="s">
        <v>104</v>
      </c>
      <c r="K21">
        <v>2</v>
      </c>
      <c r="L21">
        <v>1</v>
      </c>
      <c r="M21">
        <v>331.281</v>
      </c>
      <c r="N21" t="s">
        <v>119</v>
      </c>
      <c r="O21" t="s">
        <v>85</v>
      </c>
      <c r="P21" t="s">
        <v>85</v>
      </c>
      <c r="Q21" t="s">
        <v>85</v>
      </c>
      <c r="R21" t="s">
        <v>85</v>
      </c>
      <c r="S21" t="s">
        <v>83</v>
      </c>
      <c r="T21" t="s">
        <v>83</v>
      </c>
      <c r="U21">
        <v>-0.66</v>
      </c>
      <c r="V21">
        <v>-6.72855859658011</v>
      </c>
    </row>
    <row r="22" spans="1:22">
      <c r="A22" t="s">
        <v>104</v>
      </c>
      <c r="B22" s="2">
        <v>34005</v>
      </c>
      <c r="C22" t="s">
        <v>104</v>
      </c>
      <c r="D22" s="2">
        <v>33998</v>
      </c>
      <c r="E22" s="2">
        <v>34004</v>
      </c>
      <c r="F22">
        <v>333</v>
      </c>
      <c r="G22">
        <v>328.5</v>
      </c>
      <c r="H22" s="2">
        <v>34008</v>
      </c>
      <c r="I22" s="2">
        <v>34012</v>
      </c>
      <c r="J22" t="s">
        <v>104</v>
      </c>
      <c r="K22">
        <v>2</v>
      </c>
      <c r="L22">
        <v>2</v>
      </c>
      <c r="M22">
        <v>331.281</v>
      </c>
      <c r="N22" t="s">
        <v>120</v>
      </c>
      <c r="O22" t="s">
        <v>85</v>
      </c>
      <c r="P22" t="s">
        <v>85</v>
      </c>
      <c r="Q22" t="s">
        <v>85</v>
      </c>
      <c r="R22" t="s">
        <v>85</v>
      </c>
      <c r="S22" t="s">
        <v>83</v>
      </c>
      <c r="T22" t="s">
        <v>83</v>
      </c>
      <c r="U22">
        <v>-1.24</v>
      </c>
      <c r="V22">
        <v>-6.72855859658011</v>
      </c>
    </row>
    <row r="23" spans="1:22">
      <c r="A23" t="s">
        <v>104</v>
      </c>
      <c r="B23" s="2">
        <v>34005</v>
      </c>
      <c r="C23" t="s">
        <v>104</v>
      </c>
      <c r="D23" s="2">
        <v>33998</v>
      </c>
      <c r="E23" s="2">
        <v>34004</v>
      </c>
      <c r="F23">
        <v>333</v>
      </c>
      <c r="G23">
        <v>328.5</v>
      </c>
      <c r="H23" s="2">
        <v>34008</v>
      </c>
      <c r="I23" s="2">
        <v>34012</v>
      </c>
      <c r="J23" t="s">
        <v>104</v>
      </c>
      <c r="K23">
        <v>3</v>
      </c>
      <c r="L23">
        <v>1</v>
      </c>
      <c r="M23">
        <v>330.219</v>
      </c>
      <c r="N23" t="s">
        <v>121</v>
      </c>
      <c r="O23" t="s">
        <v>85</v>
      </c>
      <c r="P23" t="s">
        <v>85</v>
      </c>
      <c r="Q23" t="s">
        <v>85</v>
      </c>
      <c r="R23" t="s">
        <v>85</v>
      </c>
      <c r="S23" t="s">
        <v>83</v>
      </c>
      <c r="T23" t="s">
        <v>83</v>
      </c>
      <c r="U23">
        <v>-1.24</v>
      </c>
      <c r="V23">
        <v>-6.72855859658011</v>
      </c>
    </row>
    <row r="24" spans="1:22">
      <c r="A24" t="s">
        <v>104</v>
      </c>
      <c r="B24" s="2">
        <v>34005</v>
      </c>
      <c r="C24" t="s">
        <v>104</v>
      </c>
      <c r="D24" s="2">
        <v>33998</v>
      </c>
      <c r="E24" s="2">
        <v>34004</v>
      </c>
      <c r="F24">
        <v>333</v>
      </c>
      <c r="G24">
        <v>328.5</v>
      </c>
      <c r="H24" s="2">
        <v>34008</v>
      </c>
      <c r="I24" s="2">
        <v>34012</v>
      </c>
      <c r="J24" t="s">
        <v>104</v>
      </c>
      <c r="K24">
        <v>3</v>
      </c>
      <c r="L24">
        <v>2</v>
      </c>
      <c r="M24">
        <v>330.219</v>
      </c>
      <c r="N24" t="s">
        <v>122</v>
      </c>
      <c r="O24" t="s">
        <v>85</v>
      </c>
      <c r="P24" t="s">
        <v>85</v>
      </c>
      <c r="Q24" t="s">
        <v>85</v>
      </c>
      <c r="R24" t="s">
        <v>85</v>
      </c>
      <c r="S24" t="s">
        <v>83</v>
      </c>
      <c r="T24" t="s">
        <v>83</v>
      </c>
      <c r="U24">
        <v>-1.24</v>
      </c>
      <c r="V24">
        <v>-6.72855859658011</v>
      </c>
    </row>
    <row r="25" spans="1:22">
      <c r="A25" t="s">
        <v>104</v>
      </c>
      <c r="B25" s="2">
        <v>34005</v>
      </c>
      <c r="C25" t="s">
        <v>104</v>
      </c>
      <c r="D25" s="2">
        <v>33998</v>
      </c>
      <c r="E25" s="2">
        <v>34004</v>
      </c>
      <c r="F25">
        <v>333</v>
      </c>
      <c r="G25">
        <v>328.5</v>
      </c>
      <c r="H25" s="2">
        <v>34008</v>
      </c>
      <c r="I25" s="2">
        <v>34012</v>
      </c>
      <c r="J25" t="s">
        <v>104</v>
      </c>
      <c r="K25">
        <v>4</v>
      </c>
      <c r="L25" t="s">
        <v>83</v>
      </c>
      <c r="M25">
        <v>329.463</v>
      </c>
      <c r="N25" t="s">
        <v>123</v>
      </c>
      <c r="O25" t="s">
        <v>85</v>
      </c>
      <c r="P25" t="s">
        <v>85</v>
      </c>
      <c r="Q25" t="s">
        <v>85</v>
      </c>
      <c r="R25" t="s">
        <v>85</v>
      </c>
      <c r="S25" t="s">
        <v>83</v>
      </c>
      <c r="T25" t="s">
        <v>83</v>
      </c>
      <c r="U25">
        <v>-0.96</v>
      </c>
      <c r="V25">
        <v>-6.72855859658011</v>
      </c>
    </row>
    <row r="26" spans="1:22">
      <c r="A26" t="s">
        <v>104</v>
      </c>
      <c r="B26" s="2">
        <v>34012</v>
      </c>
      <c r="C26" t="s">
        <v>104</v>
      </c>
      <c r="D26" s="2">
        <v>34005</v>
      </c>
      <c r="E26" s="2">
        <v>34011</v>
      </c>
      <c r="F26">
        <v>334.6</v>
      </c>
      <c r="G26">
        <v>328.3</v>
      </c>
      <c r="H26" s="2">
        <v>34015</v>
      </c>
      <c r="I26" s="2">
        <v>34019</v>
      </c>
      <c r="J26" t="s">
        <v>104</v>
      </c>
      <c r="K26">
        <v>1</v>
      </c>
      <c r="L26" t="s">
        <v>83</v>
      </c>
      <c r="M26">
        <v>333.1132</v>
      </c>
      <c r="N26" t="s">
        <v>125</v>
      </c>
      <c r="O26" t="s">
        <v>85</v>
      </c>
      <c r="P26" t="s">
        <v>85</v>
      </c>
      <c r="Q26" t="s">
        <v>85</v>
      </c>
      <c r="R26" t="s">
        <v>85</v>
      </c>
      <c r="S26" t="s">
        <v>83</v>
      </c>
      <c r="T26" t="s">
        <v>83</v>
      </c>
      <c r="U26">
        <v>-1.84</v>
      </c>
      <c r="V26">
        <v>-6.72855859658011</v>
      </c>
    </row>
    <row r="27" spans="1:22">
      <c r="A27" t="s">
        <v>104</v>
      </c>
      <c r="B27" s="2">
        <v>34012</v>
      </c>
      <c r="C27" t="s">
        <v>104</v>
      </c>
      <c r="D27" s="2">
        <v>34005</v>
      </c>
      <c r="E27" s="2">
        <v>34011</v>
      </c>
      <c r="F27">
        <v>334.6</v>
      </c>
      <c r="G27">
        <v>328.3</v>
      </c>
      <c r="H27" s="2">
        <v>34015</v>
      </c>
      <c r="I27" s="2">
        <v>34019</v>
      </c>
      <c r="J27" t="s">
        <v>104</v>
      </c>
      <c r="K27">
        <v>2</v>
      </c>
      <c r="L27">
        <v>1</v>
      </c>
      <c r="M27">
        <v>332.1934</v>
      </c>
      <c r="N27" t="s">
        <v>126</v>
      </c>
      <c r="O27" t="s">
        <v>85</v>
      </c>
      <c r="P27" t="s">
        <v>85</v>
      </c>
      <c r="Q27" t="s">
        <v>85</v>
      </c>
      <c r="R27" t="s">
        <v>85</v>
      </c>
      <c r="S27" t="s">
        <v>83</v>
      </c>
      <c r="T27" t="s">
        <v>83</v>
      </c>
      <c r="U27">
        <v>-0.92</v>
      </c>
      <c r="V27">
        <v>-6.72855859658011</v>
      </c>
    </row>
    <row r="28" spans="1:22">
      <c r="A28" t="s">
        <v>104</v>
      </c>
      <c r="B28" s="2">
        <v>34012</v>
      </c>
      <c r="C28" t="s">
        <v>104</v>
      </c>
      <c r="D28" s="2">
        <v>34005</v>
      </c>
      <c r="E28" s="2">
        <v>34011</v>
      </c>
      <c r="F28">
        <v>334.6</v>
      </c>
      <c r="G28">
        <v>328.3</v>
      </c>
      <c r="H28" s="2">
        <v>34015</v>
      </c>
      <c r="I28" s="2">
        <v>34019</v>
      </c>
      <c r="J28" t="s">
        <v>104</v>
      </c>
      <c r="K28">
        <v>2</v>
      </c>
      <c r="L28">
        <v>2</v>
      </c>
      <c r="M28">
        <v>332.1934</v>
      </c>
      <c r="N28" t="s">
        <v>127</v>
      </c>
      <c r="O28" t="s">
        <v>85</v>
      </c>
      <c r="P28" t="s">
        <v>85</v>
      </c>
      <c r="Q28" t="s">
        <v>85</v>
      </c>
      <c r="R28" t="s">
        <v>85</v>
      </c>
      <c r="S28" t="s">
        <v>83</v>
      </c>
      <c r="T28" t="s">
        <v>83</v>
      </c>
      <c r="U28">
        <v>-1.74</v>
      </c>
      <c r="V28">
        <v>-6.72855859658011</v>
      </c>
    </row>
    <row r="29" spans="1:22">
      <c r="A29" t="s">
        <v>104</v>
      </c>
      <c r="B29" s="2">
        <v>34012</v>
      </c>
      <c r="C29" t="s">
        <v>104</v>
      </c>
      <c r="D29" s="2">
        <v>34005</v>
      </c>
      <c r="E29" s="2">
        <v>34011</v>
      </c>
      <c r="F29">
        <v>334.6</v>
      </c>
      <c r="G29">
        <v>328.3</v>
      </c>
      <c r="H29" s="2">
        <v>34015</v>
      </c>
      <c r="I29" s="2">
        <v>34019</v>
      </c>
      <c r="J29" t="s">
        <v>104</v>
      </c>
      <c r="K29">
        <v>3</v>
      </c>
      <c r="L29">
        <v>1</v>
      </c>
      <c r="M29">
        <v>330.7066</v>
      </c>
      <c r="N29" t="s">
        <v>128</v>
      </c>
      <c r="O29" t="s">
        <v>85</v>
      </c>
      <c r="P29" t="s">
        <v>85</v>
      </c>
      <c r="Q29" t="s">
        <v>85</v>
      </c>
      <c r="R29" t="s">
        <v>85</v>
      </c>
      <c r="S29" t="s">
        <v>83</v>
      </c>
      <c r="T29" t="s">
        <v>83</v>
      </c>
      <c r="U29">
        <v>-1.73</v>
      </c>
      <c r="V29">
        <v>-6.72855859658011</v>
      </c>
    </row>
    <row r="30" spans="1:22">
      <c r="A30" t="s">
        <v>104</v>
      </c>
      <c r="B30" s="2">
        <v>34012</v>
      </c>
      <c r="C30" t="s">
        <v>104</v>
      </c>
      <c r="D30" s="2">
        <v>34005</v>
      </c>
      <c r="E30" s="2">
        <v>34011</v>
      </c>
      <c r="F30">
        <v>334.6</v>
      </c>
      <c r="G30">
        <v>328.3</v>
      </c>
      <c r="H30" s="2">
        <v>34015</v>
      </c>
      <c r="I30" s="2">
        <v>34019</v>
      </c>
      <c r="J30" t="s">
        <v>104</v>
      </c>
      <c r="K30">
        <v>3</v>
      </c>
      <c r="L30">
        <v>2</v>
      </c>
      <c r="M30">
        <v>330.7066</v>
      </c>
      <c r="N30" t="s">
        <v>129</v>
      </c>
      <c r="O30" t="s">
        <v>85</v>
      </c>
      <c r="P30" t="s">
        <v>85</v>
      </c>
      <c r="Q30" t="s">
        <v>85</v>
      </c>
      <c r="R30" t="s">
        <v>85</v>
      </c>
      <c r="S30" t="s">
        <v>83</v>
      </c>
      <c r="T30" t="s">
        <v>83</v>
      </c>
      <c r="U30">
        <v>-1.73</v>
      </c>
      <c r="V30">
        <v>-6.72855859658011</v>
      </c>
    </row>
    <row r="31" spans="1:22">
      <c r="A31" t="s">
        <v>104</v>
      </c>
      <c r="B31" s="2">
        <v>34012</v>
      </c>
      <c r="C31" t="s">
        <v>104</v>
      </c>
      <c r="D31" s="2">
        <v>34005</v>
      </c>
      <c r="E31" s="2">
        <v>34011</v>
      </c>
      <c r="F31">
        <v>334.6</v>
      </c>
      <c r="G31">
        <v>328.3</v>
      </c>
      <c r="H31" s="2">
        <v>34015</v>
      </c>
      <c r="I31" s="2">
        <v>34019</v>
      </c>
      <c r="J31" t="s">
        <v>104</v>
      </c>
      <c r="K31">
        <v>4</v>
      </c>
      <c r="L31" t="s">
        <v>83</v>
      </c>
      <c r="M31">
        <v>329.6482</v>
      </c>
      <c r="N31" t="s">
        <v>130</v>
      </c>
      <c r="O31" t="s">
        <v>85</v>
      </c>
      <c r="P31" t="s">
        <v>85</v>
      </c>
      <c r="Q31" t="s">
        <v>85</v>
      </c>
      <c r="R31" t="s">
        <v>85</v>
      </c>
      <c r="S31" t="s">
        <v>83</v>
      </c>
      <c r="T31" t="s">
        <v>83</v>
      </c>
      <c r="U31">
        <v>1.8</v>
      </c>
      <c r="V31">
        <v>-6.72855859658011</v>
      </c>
    </row>
    <row r="32" spans="1:22">
      <c r="A32" t="s">
        <v>104</v>
      </c>
      <c r="B32" s="2">
        <v>34019</v>
      </c>
      <c r="C32" t="s">
        <v>104</v>
      </c>
      <c r="D32" s="2">
        <v>34012</v>
      </c>
      <c r="E32" s="2">
        <v>34018</v>
      </c>
      <c r="F32">
        <v>334.4</v>
      </c>
      <c r="G32">
        <v>328.8</v>
      </c>
      <c r="H32" s="2">
        <v>34022</v>
      </c>
      <c r="I32" s="2">
        <v>34026</v>
      </c>
      <c r="J32" t="s">
        <v>104</v>
      </c>
      <c r="K32">
        <v>1</v>
      </c>
      <c r="L32" t="s">
        <v>83</v>
      </c>
      <c r="M32">
        <v>333.0784</v>
      </c>
      <c r="N32" t="s">
        <v>132</v>
      </c>
      <c r="O32" t="s">
        <v>85</v>
      </c>
      <c r="P32" t="s">
        <v>85</v>
      </c>
      <c r="Q32" t="s">
        <v>85</v>
      </c>
      <c r="R32" t="s">
        <v>85</v>
      </c>
      <c r="S32" t="s">
        <v>83</v>
      </c>
      <c r="T32" t="s">
        <v>83</v>
      </c>
      <c r="U32">
        <v>-1.63</v>
      </c>
      <c r="V32">
        <v>-6.72855859658011</v>
      </c>
    </row>
    <row r="33" spans="1:22">
      <c r="A33" t="s">
        <v>104</v>
      </c>
      <c r="B33" s="2">
        <v>34019</v>
      </c>
      <c r="C33" t="s">
        <v>104</v>
      </c>
      <c r="D33" s="2">
        <v>34012</v>
      </c>
      <c r="E33" s="2">
        <v>34018</v>
      </c>
      <c r="F33">
        <v>334.4</v>
      </c>
      <c r="G33">
        <v>328.8</v>
      </c>
      <c r="H33" s="2">
        <v>34022</v>
      </c>
      <c r="I33" s="2">
        <v>34026</v>
      </c>
      <c r="J33" t="s">
        <v>104</v>
      </c>
      <c r="K33">
        <v>2</v>
      </c>
      <c r="L33">
        <v>1</v>
      </c>
      <c r="M33">
        <v>332.2608</v>
      </c>
      <c r="N33" t="s">
        <v>133</v>
      </c>
      <c r="O33" t="s">
        <v>85</v>
      </c>
      <c r="P33" t="s">
        <v>85</v>
      </c>
      <c r="Q33" t="s">
        <v>85</v>
      </c>
      <c r="R33" t="s">
        <v>85</v>
      </c>
      <c r="S33" t="s">
        <v>83</v>
      </c>
      <c r="T33" t="s">
        <v>83</v>
      </c>
      <c r="U33">
        <v>-0.82</v>
      </c>
      <c r="V33">
        <v>-6.72855859658011</v>
      </c>
    </row>
    <row r="34" spans="1:22">
      <c r="A34" t="s">
        <v>104</v>
      </c>
      <c r="B34" s="2">
        <v>34019</v>
      </c>
      <c r="C34" t="s">
        <v>104</v>
      </c>
      <c r="D34" s="2">
        <v>34012</v>
      </c>
      <c r="E34" s="2">
        <v>34018</v>
      </c>
      <c r="F34">
        <v>334.4</v>
      </c>
      <c r="G34">
        <v>328.8</v>
      </c>
      <c r="H34" s="2">
        <v>34022</v>
      </c>
      <c r="I34" s="2">
        <v>34026</v>
      </c>
      <c r="J34" t="s">
        <v>104</v>
      </c>
      <c r="K34">
        <v>2</v>
      </c>
      <c r="L34">
        <v>2</v>
      </c>
      <c r="M34">
        <v>332.2608</v>
      </c>
      <c r="N34" t="s">
        <v>134</v>
      </c>
      <c r="O34" t="s">
        <v>85</v>
      </c>
      <c r="P34" t="s">
        <v>85</v>
      </c>
      <c r="Q34" t="s">
        <v>85</v>
      </c>
      <c r="R34" t="s">
        <v>85</v>
      </c>
      <c r="S34" t="s">
        <v>83</v>
      </c>
      <c r="T34" t="s">
        <v>83</v>
      </c>
      <c r="U34">
        <v>-1.54</v>
      </c>
      <c r="V34">
        <v>-6.72855859658011</v>
      </c>
    </row>
    <row r="35" spans="1:22">
      <c r="A35" t="s">
        <v>104</v>
      </c>
      <c r="B35" s="2">
        <v>34019</v>
      </c>
      <c r="C35" t="s">
        <v>104</v>
      </c>
      <c r="D35" s="2">
        <v>34012</v>
      </c>
      <c r="E35" s="2">
        <v>34018</v>
      </c>
      <c r="F35">
        <v>334.4</v>
      </c>
      <c r="G35">
        <v>328.8</v>
      </c>
      <c r="H35" s="2">
        <v>34022</v>
      </c>
      <c r="I35" s="2">
        <v>34026</v>
      </c>
      <c r="J35" t="s">
        <v>104</v>
      </c>
      <c r="K35">
        <v>3</v>
      </c>
      <c r="L35">
        <v>1</v>
      </c>
      <c r="M35">
        <v>330.9392</v>
      </c>
      <c r="N35" t="s">
        <v>135</v>
      </c>
      <c r="O35" t="s">
        <v>85</v>
      </c>
      <c r="P35" t="s">
        <v>85</v>
      </c>
      <c r="Q35" t="s">
        <v>85</v>
      </c>
      <c r="R35" t="s">
        <v>85</v>
      </c>
      <c r="S35" t="s">
        <v>83</v>
      </c>
      <c r="T35" t="s">
        <v>83</v>
      </c>
      <c r="U35">
        <v>-1.54</v>
      </c>
      <c r="V35">
        <v>-6.72855859658011</v>
      </c>
    </row>
    <row r="36" spans="1:22">
      <c r="A36" t="s">
        <v>104</v>
      </c>
      <c r="B36" s="2">
        <v>34019</v>
      </c>
      <c r="C36" t="s">
        <v>104</v>
      </c>
      <c r="D36" s="2">
        <v>34012</v>
      </c>
      <c r="E36" s="2">
        <v>34018</v>
      </c>
      <c r="F36">
        <v>334.4</v>
      </c>
      <c r="G36">
        <v>328.8</v>
      </c>
      <c r="H36" s="2">
        <v>34022</v>
      </c>
      <c r="I36" s="2">
        <v>34026</v>
      </c>
      <c r="J36" t="s">
        <v>104</v>
      </c>
      <c r="K36">
        <v>3</v>
      </c>
      <c r="L36">
        <v>2</v>
      </c>
      <c r="M36">
        <v>330.9392</v>
      </c>
      <c r="N36" t="s">
        <v>136</v>
      </c>
      <c r="O36" t="s">
        <v>85</v>
      </c>
      <c r="P36" t="s">
        <v>85</v>
      </c>
      <c r="Q36" t="s">
        <v>85</v>
      </c>
      <c r="R36" t="s">
        <v>85</v>
      </c>
      <c r="S36" t="s">
        <v>83</v>
      </c>
      <c r="T36" t="s">
        <v>83</v>
      </c>
      <c r="U36">
        <v>-1.54</v>
      </c>
      <c r="V36">
        <v>-6.72855859658011</v>
      </c>
    </row>
    <row r="37" spans="1:22">
      <c r="A37" t="s">
        <v>104</v>
      </c>
      <c r="B37" s="2">
        <v>34019</v>
      </c>
      <c r="C37" t="s">
        <v>104</v>
      </c>
      <c r="D37" s="2">
        <v>34012</v>
      </c>
      <c r="E37" s="2">
        <v>34018</v>
      </c>
      <c r="F37">
        <v>334.4</v>
      </c>
      <c r="G37">
        <v>328.8</v>
      </c>
      <c r="H37" s="2">
        <v>34022</v>
      </c>
      <c r="I37" s="2">
        <v>34026</v>
      </c>
      <c r="J37" t="s">
        <v>104</v>
      </c>
      <c r="K37">
        <v>4</v>
      </c>
      <c r="L37" t="s">
        <v>83</v>
      </c>
      <c r="M37">
        <v>329.9984</v>
      </c>
      <c r="N37" t="s">
        <v>137</v>
      </c>
      <c r="O37" t="s">
        <v>85</v>
      </c>
      <c r="P37" t="s">
        <v>85</v>
      </c>
      <c r="Q37" t="s">
        <v>85</v>
      </c>
      <c r="R37" t="s">
        <v>85</v>
      </c>
      <c r="S37" t="s">
        <v>83</v>
      </c>
      <c r="T37" t="s">
        <v>83</v>
      </c>
      <c r="U37">
        <v>1.6</v>
      </c>
      <c r="V37">
        <v>-6.72855859658011</v>
      </c>
    </row>
    <row r="38" spans="1:22">
      <c r="A38" t="s">
        <v>53</v>
      </c>
      <c r="B38" s="2">
        <v>34026</v>
      </c>
      <c r="C38" t="s">
        <v>53</v>
      </c>
      <c r="D38" s="2">
        <v>34019</v>
      </c>
      <c r="E38" s="2">
        <v>34025</v>
      </c>
      <c r="F38">
        <v>332.5</v>
      </c>
      <c r="G38">
        <v>328.7</v>
      </c>
      <c r="H38" s="2">
        <v>34029</v>
      </c>
      <c r="I38" s="2">
        <v>34033</v>
      </c>
      <c r="J38" t="s">
        <v>53</v>
      </c>
      <c r="K38">
        <v>1</v>
      </c>
      <c r="L38" t="s">
        <v>83</v>
      </c>
      <c r="M38">
        <v>331.6032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88</v>
      </c>
      <c r="V38">
        <v>-6.72855859658011</v>
      </c>
    </row>
    <row r="39" spans="1:22">
      <c r="A39" t="s">
        <v>53</v>
      </c>
      <c r="B39" s="2">
        <v>34026</v>
      </c>
      <c r="C39" t="s">
        <v>53</v>
      </c>
      <c r="D39" s="2">
        <v>34019</v>
      </c>
      <c r="E39" s="2">
        <v>34025</v>
      </c>
      <c r="F39">
        <v>332.5</v>
      </c>
      <c r="G39">
        <v>328.7</v>
      </c>
      <c r="H39" s="2">
        <v>34029</v>
      </c>
      <c r="I39" s="2">
        <v>34033</v>
      </c>
      <c r="J39" t="s">
        <v>53</v>
      </c>
      <c r="K39">
        <v>2</v>
      </c>
      <c r="L39">
        <v>1</v>
      </c>
      <c r="M39">
        <v>331.0484</v>
      </c>
      <c r="N39" t="s">
        <v>83</v>
      </c>
      <c r="O39" t="s">
        <v>83</v>
      </c>
      <c r="P39" t="s">
        <v>83</v>
      </c>
      <c r="Q39" t="s">
        <v>83</v>
      </c>
      <c r="R39" t="s">
        <v>139</v>
      </c>
      <c r="S39" t="s">
        <v>83</v>
      </c>
      <c r="T39" t="s">
        <v>83</v>
      </c>
      <c r="U39">
        <v>0.45</v>
      </c>
      <c r="V39">
        <v>-6.72855859658011</v>
      </c>
    </row>
    <row r="40" spans="1:22">
      <c r="A40" t="s">
        <v>53</v>
      </c>
      <c r="B40" s="2">
        <v>34026</v>
      </c>
      <c r="C40" t="s">
        <v>53</v>
      </c>
      <c r="D40" s="2">
        <v>34019</v>
      </c>
      <c r="E40" s="2">
        <v>34025</v>
      </c>
      <c r="F40">
        <v>332.5</v>
      </c>
      <c r="G40">
        <v>328.7</v>
      </c>
      <c r="H40" s="2">
        <v>34029</v>
      </c>
      <c r="I40" s="2">
        <v>34033</v>
      </c>
      <c r="J40" t="s">
        <v>53</v>
      </c>
      <c r="K40">
        <v>2</v>
      </c>
      <c r="L40">
        <v>2</v>
      </c>
      <c r="M40">
        <v>331.0484</v>
      </c>
      <c r="N40" t="s">
        <v>83</v>
      </c>
      <c r="O40" t="s">
        <v>83</v>
      </c>
      <c r="P40" t="s">
        <v>83</v>
      </c>
      <c r="Q40" t="s">
        <v>83</v>
      </c>
      <c r="R40" t="s">
        <v>87</v>
      </c>
      <c r="S40" t="s">
        <v>83</v>
      </c>
      <c r="T40" t="s">
        <v>83</v>
      </c>
      <c r="U40" t="s">
        <v>88</v>
      </c>
      <c r="V40">
        <v>-6.72855859658011</v>
      </c>
    </row>
    <row r="41" spans="1:22">
      <c r="A41" t="s">
        <v>53</v>
      </c>
      <c r="B41" s="2">
        <v>34026</v>
      </c>
      <c r="C41" t="s">
        <v>53</v>
      </c>
      <c r="D41" s="2">
        <v>34019</v>
      </c>
      <c r="E41" s="2">
        <v>34025</v>
      </c>
      <c r="F41">
        <v>332.5</v>
      </c>
      <c r="G41">
        <v>328.7</v>
      </c>
      <c r="H41" s="2">
        <v>34029</v>
      </c>
      <c r="I41" s="2">
        <v>34033</v>
      </c>
      <c r="J41" t="s">
        <v>53</v>
      </c>
      <c r="K41">
        <v>3</v>
      </c>
      <c r="L41">
        <v>1</v>
      </c>
      <c r="M41">
        <v>330.1516</v>
      </c>
      <c r="N41" t="s">
        <v>83</v>
      </c>
      <c r="O41" t="s">
        <v>140</v>
      </c>
      <c r="P41" t="s">
        <v>83</v>
      </c>
      <c r="Q41" t="s">
        <v>85</v>
      </c>
      <c r="R41" t="s">
        <v>85</v>
      </c>
      <c r="S41" t="s">
        <v>83</v>
      </c>
      <c r="T41" t="s">
        <v>83</v>
      </c>
      <c r="U41">
        <v>0.64</v>
      </c>
      <c r="V41">
        <v>-6.72855859658011</v>
      </c>
    </row>
    <row r="42" spans="1:22">
      <c r="A42" t="s">
        <v>53</v>
      </c>
      <c r="B42" s="2">
        <v>34026</v>
      </c>
      <c r="C42" t="s">
        <v>53</v>
      </c>
      <c r="D42" s="2">
        <v>34019</v>
      </c>
      <c r="E42" s="2">
        <v>34025</v>
      </c>
      <c r="F42">
        <v>332.5</v>
      </c>
      <c r="G42">
        <v>328.7</v>
      </c>
      <c r="H42" s="2">
        <v>34029</v>
      </c>
      <c r="I42" s="2">
        <v>34033</v>
      </c>
      <c r="J42" t="s">
        <v>53</v>
      </c>
      <c r="K42">
        <v>3</v>
      </c>
      <c r="L42">
        <v>2</v>
      </c>
      <c r="M42">
        <v>330.1516</v>
      </c>
      <c r="N42" t="s">
        <v>83</v>
      </c>
      <c r="O42" t="s">
        <v>87</v>
      </c>
      <c r="P42" t="s">
        <v>83</v>
      </c>
      <c r="Q42" t="s">
        <v>141</v>
      </c>
      <c r="R42" t="s">
        <v>85</v>
      </c>
      <c r="S42" t="s">
        <v>83</v>
      </c>
      <c r="T42" t="s">
        <v>83</v>
      </c>
      <c r="U42">
        <v>1.45</v>
      </c>
      <c r="V42">
        <v>-6.72855859658011</v>
      </c>
    </row>
    <row r="43" spans="1:22">
      <c r="A43" t="s">
        <v>53</v>
      </c>
      <c r="B43" s="2">
        <v>34026</v>
      </c>
      <c r="C43" t="s">
        <v>53</v>
      </c>
      <c r="D43" s="2">
        <v>34019</v>
      </c>
      <c r="E43" s="2">
        <v>34025</v>
      </c>
      <c r="F43">
        <v>332.5</v>
      </c>
      <c r="G43">
        <v>328.7</v>
      </c>
      <c r="H43" s="2">
        <v>34029</v>
      </c>
      <c r="I43" s="2">
        <v>34033</v>
      </c>
      <c r="J43" t="s">
        <v>53</v>
      </c>
      <c r="K43">
        <v>4</v>
      </c>
      <c r="L43" t="s">
        <v>83</v>
      </c>
      <c r="M43">
        <v>329.5132</v>
      </c>
      <c r="N43" t="s">
        <v>87</v>
      </c>
      <c r="O43" t="s">
        <v>142</v>
      </c>
      <c r="P43" t="s">
        <v>85</v>
      </c>
      <c r="Q43" t="s">
        <v>85</v>
      </c>
      <c r="R43" t="s">
        <v>85</v>
      </c>
      <c r="S43" t="s">
        <v>83</v>
      </c>
      <c r="T43" t="s">
        <v>83</v>
      </c>
      <c r="U43">
        <v>-0.64</v>
      </c>
      <c r="V43">
        <v>-6.72855859658011</v>
      </c>
    </row>
    <row r="44" spans="21:21">
      <c r="U44">
        <f>AVERAGE(U2:U43)</f>
        <v>-0.48027027027027</v>
      </c>
    </row>
    <row r="45" spans="21:21">
      <c r="U45">
        <f>STDEV(U2:U43)</f>
        <v>1.14204613276757</v>
      </c>
    </row>
    <row r="46" spans="21:21">
      <c r="U46">
        <f>U44*U45*16</f>
        <v>-8.77585287752639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fib_buy_sell</vt:lpstr>
      <vt:lpstr>fib_result_df_full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Cingolani</cp:lastModifiedBy>
  <dcterms:created xsi:type="dcterms:W3CDTF">2025-09-04T18:03:00Z</dcterms:created>
  <dcterms:modified xsi:type="dcterms:W3CDTF">2025-09-04T18:32:30Z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AE1B530DD9254C018750C660EACEB9B4_12</vt:lpwstr>
  </property>
  <property fmtid="{D5CDD505-2E9C-101B-9397-08002B2CF9AE}" pid="3" name="KSOProductBuildVer">
    <vt:lpwstr>2057-12.2.0.21936</vt:lpwstr>
  </property>
</Properties>
</file>